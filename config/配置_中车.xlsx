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010" windowHeight="12332" activeTab="3"/>
  </bookViews>
  <sheets>
    <sheet name="project" sheetId="1" r:id="rId1"/>
    <sheet name="devices" sheetId="2" r:id="rId2"/>
    <sheet name="config" sheetId="4" r:id="rId3"/>
    <sheet name="mqtt_routes" sheetId="5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<sst xmlns="http://schemas.openxmlformats.org/spreadsheetml/2006/main" count="107" uniqueCount="83">
  <si>
    <t>key</t>
  </si>
  <si>
    <t>value</t>
  </si>
  <si>
    <t>备注</t>
  </si>
  <si>
    <t>product_type</t>
  </si>
  <si>
    <t>TEST_EMS</t>
  </si>
  <si>
    <t>项目类型</t>
  </si>
  <si>
    <t>project</t>
  </si>
  <si>
    <t>中车测试平台</t>
  </si>
  <si>
    <t>项目名称：</t>
  </si>
  <si>
    <t>http_ip</t>
  </si>
  <si>
    <t>0.0.0.0</t>
  </si>
  <si>
    <t>HTTP监听IP</t>
  </si>
  <si>
    <t>http_port</t>
  </si>
  <si>
    <t>HTTP监听端口</t>
  </si>
  <si>
    <t>mqtt_host</t>
  </si>
  <si>
    <t>127.0.0.1</t>
  </si>
  <si>
    <t>MQTT服务器地址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</si>
  <si>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</si>
  <si>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</si>
  <si>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</si>
  <si>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</si>
  <si>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</si>
  <si>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</si>
  <si>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</si>
  <si>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</si>
  <si>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</si>
  <si>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/asw/+/+/setyt</t>
  </si>
  <si>
    <t>MQTT遥调</t>
  </si>
  <si>
    <t>mqtt_yk</t>
  </si>
  <si>
    <t>/asw/+/+/setyk</t>
  </si>
  <si>
    <t>MQTT遥控</t>
  </si>
  <si>
    <t>north_modbus_host</t>
  </si>
  <si>
    <t>北向Modbus从机IP</t>
  </si>
  <si>
    <t>north_modbus_port</t>
  </si>
  <si>
    <t>北向Modbus从机端口</t>
  </si>
  <si>
    <t>north_modbus_conf</t>
  </si>
  <si>
    <t>./config/MODBUS_REGISTERS.xlsx</t>
  </si>
  <si>
    <t>北向Modbus配置文件</t>
  </si>
  <si>
    <t>no</t>
  </si>
  <si>
    <t>id</t>
  </si>
  <si>
    <t>type</t>
  </si>
  <si>
    <t>desc</t>
  </si>
  <si>
    <t>pcs1</t>
  </si>
  <si>
    <t>PCS</t>
  </si>
  <si>
    <t>2.5MW</t>
  </si>
  <si>
    <t>pcs2</t>
  </si>
  <si>
    <t>crd</t>
  </si>
  <si>
    <t>CRD</t>
  </si>
  <si>
    <t>测控柜</t>
  </si>
  <si>
    <t>comType</t>
  </si>
  <si>
    <t>registerFile</t>
  </si>
  <si>
    <t>interval</t>
  </si>
  <si>
    <t>timeout</t>
  </si>
  <si>
    <t>ip</t>
  </si>
  <si>
    <t>port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</si>
  <si>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</si>
  <si>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</si>
  <si>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</si>
  <si>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</si>
  <si>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</si>
  <si>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</si>
  <si>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</si>
  <si>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</si>
  <si>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</si>
  <si>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</si>
  <si>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./config/PCS_英博_大机_V3.6.xlsx</t>
  </si>
  <si>
    <t>192.168.0.1</t>
  </si>
  <si>
    <t>192.168.0.2</t>
  </si>
  <si>
    <t>IEC104</t>
  </si>
  <si>
    <t>./config/测控柜_中车.xlsx</t>
  </si>
  <si>
    <t>device_id</t>
  </si>
  <si>
    <t>topic</t>
  </si>
  <si>
    <t>point_ids</t>
  </si>
  <si>
    <t>enable</t>
  </si>
  <si>
    <t>/pds/pcs/0/yx</t>
  </si>
  <si>
    <t>/pds/pcs/0/yc</t>
  </si>
  <si>
    <t>/pds/pcs/0/yt</t>
  </si>
  <si>
    <t>/pds/pcs/1/yx</t>
  </si>
  <si>
    <t>/pds/pcs/1/yc</t>
  </si>
  <si>
    <t>/pds/pcs/1/yt</t>
  </si>
  <si>
    <t>/pds/crd/0/yc</t>
  </si>
  <si>
    <t>/pds/crd/0/yx</t>
  </si>
  <si>
    <t>/pds/crd/0/yt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</si>
</sst>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CS_&#33521;&#21338;_&#22823;&#26426;_V3.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7979;&#25511;&#26588;_&#20013;&#3671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调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35</v>
          </cell>
        </row>
        <row r="33">
          <cell r="A33">
            <v>36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40</v>
          </cell>
        </row>
        <row r="39">
          <cell r="A39">
            <v>41</v>
          </cell>
        </row>
        <row r="40">
          <cell r="A40">
            <v>42</v>
          </cell>
        </row>
        <row r="41">
          <cell r="A41">
            <v>43</v>
          </cell>
        </row>
        <row r="42">
          <cell r="A42">
            <v>44</v>
          </cell>
        </row>
        <row r="43">
          <cell r="A43">
            <v>45</v>
          </cell>
        </row>
        <row r="44">
          <cell r="A44">
            <v>46</v>
          </cell>
        </row>
        <row r="45">
          <cell r="A45">
            <v>47</v>
          </cell>
        </row>
        <row r="46">
          <cell r="A46">
            <v>48</v>
          </cell>
        </row>
        <row r="47">
          <cell r="A47">
            <v>49</v>
          </cell>
        </row>
        <row r="48">
          <cell r="A48">
            <v>50</v>
          </cell>
        </row>
        <row r="49">
          <cell r="A49">
            <v>51</v>
          </cell>
        </row>
        <row r="50">
          <cell r="A50">
            <v>52</v>
          </cell>
        </row>
        <row r="51">
          <cell r="A51">
            <v>53</v>
          </cell>
        </row>
        <row r="52">
          <cell r="A52">
            <v>54</v>
          </cell>
        </row>
        <row r="53">
          <cell r="A53">
            <v>55</v>
          </cell>
        </row>
        <row r="54">
          <cell r="A54">
            <v>56</v>
          </cell>
        </row>
        <row r="55">
          <cell r="A55">
            <v>57</v>
          </cell>
        </row>
        <row r="56">
          <cell r="A56">
            <v>58</v>
          </cell>
        </row>
        <row r="57">
          <cell r="A57">
            <v>59</v>
          </cell>
        </row>
        <row r="58">
          <cell r="A58">
            <v>60</v>
          </cell>
        </row>
        <row r="59">
          <cell r="A59">
            <v>61</v>
          </cell>
        </row>
        <row r="60">
          <cell r="A60">
            <v>62</v>
          </cell>
        </row>
        <row r="61">
          <cell r="A61">
            <v>63</v>
          </cell>
        </row>
        <row r="62">
          <cell r="A62">
            <v>64</v>
          </cell>
        </row>
        <row r="63">
          <cell r="A63">
            <v>65</v>
          </cell>
        </row>
        <row r="64">
          <cell r="A64">
            <v>66</v>
          </cell>
        </row>
        <row r="65">
          <cell r="A65">
            <v>67</v>
          </cell>
        </row>
        <row r="66">
          <cell r="A66">
            <v>68</v>
          </cell>
        </row>
        <row r="67">
          <cell r="A67">
            <v>69</v>
          </cell>
        </row>
        <row r="68">
          <cell r="A68">
            <v>70</v>
          </cell>
        </row>
        <row r="69">
          <cell r="A69">
            <v>71</v>
          </cell>
        </row>
      </sheetData>
      <sheetData sheetId="1">
        <row r="2">
          <cell r="A2">
            <v>2000</v>
          </cell>
        </row>
        <row r="3">
          <cell r="A3">
            <v>2001</v>
          </cell>
        </row>
        <row r="4">
          <cell r="A4">
            <v>2002</v>
          </cell>
        </row>
        <row r="5">
          <cell r="A5">
            <v>2003</v>
          </cell>
        </row>
        <row r="6">
          <cell r="A6">
            <v>2004</v>
          </cell>
        </row>
        <row r="7">
          <cell r="A7">
            <v>2005</v>
          </cell>
        </row>
        <row r="8">
          <cell r="A8">
            <v>2006</v>
          </cell>
        </row>
        <row r="9">
          <cell r="A9">
            <v>2007</v>
          </cell>
        </row>
        <row r="10">
          <cell r="A10">
            <v>2008</v>
          </cell>
        </row>
        <row r="11">
          <cell r="A11">
            <v>2009</v>
          </cell>
        </row>
        <row r="12">
          <cell r="A12">
            <v>2010</v>
          </cell>
        </row>
        <row r="13">
          <cell r="A13">
            <v>2011</v>
          </cell>
        </row>
        <row r="14">
          <cell r="A14">
            <v>2012</v>
          </cell>
        </row>
        <row r="15">
          <cell r="A15">
            <v>2013</v>
          </cell>
        </row>
        <row r="16">
          <cell r="A16">
            <v>2014</v>
          </cell>
        </row>
        <row r="17">
          <cell r="A17">
            <v>2015</v>
          </cell>
        </row>
        <row r="18">
          <cell r="A18">
            <v>2016</v>
          </cell>
        </row>
        <row r="19">
          <cell r="A19">
            <v>2017</v>
          </cell>
        </row>
        <row r="20">
          <cell r="A20">
            <v>2018</v>
          </cell>
        </row>
        <row r="21">
          <cell r="A21">
            <v>2019</v>
          </cell>
        </row>
        <row r="22">
          <cell r="A22">
            <v>2021</v>
          </cell>
        </row>
        <row r="23">
          <cell r="A23">
            <v>2020</v>
          </cell>
        </row>
        <row r="24">
          <cell r="A24">
            <v>2022</v>
          </cell>
        </row>
        <row r="25">
          <cell r="A25">
            <v>2023</v>
          </cell>
        </row>
        <row r="26">
          <cell r="A26">
            <v>2024</v>
          </cell>
        </row>
        <row r="27">
          <cell r="A27">
            <v>2025</v>
          </cell>
        </row>
        <row r="28">
          <cell r="A28">
            <v>2026</v>
          </cell>
        </row>
        <row r="29">
          <cell r="A29">
            <v>2027</v>
          </cell>
        </row>
        <row r="30">
          <cell r="A30">
            <v>2028</v>
          </cell>
        </row>
        <row r="31">
          <cell r="A31">
            <v>2029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信"/>
      <sheetName val="遥控"/>
      <sheetName val="遥脉"/>
      <sheetName val="遥调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  <row r="110">
          <cell r="A110">
            <v>109</v>
          </cell>
        </row>
        <row r="111">
          <cell r="A111">
            <v>110</v>
          </cell>
        </row>
        <row r="112">
          <cell r="A112">
            <v>111</v>
          </cell>
        </row>
        <row r="113">
          <cell r="A113">
            <v>112</v>
          </cell>
        </row>
        <row r="114">
          <cell r="A114">
            <v>113</v>
          </cell>
        </row>
        <row r="115">
          <cell r="A115">
            <v>114</v>
          </cell>
        </row>
        <row r="116">
          <cell r="A116">
            <v>115</v>
          </cell>
        </row>
        <row r="117">
          <cell r="A117">
            <v>116</v>
          </cell>
        </row>
        <row r="118">
          <cell r="A118">
            <v>117</v>
          </cell>
        </row>
        <row r="119">
          <cell r="A119">
            <v>118</v>
          </cell>
        </row>
        <row r="120">
          <cell r="A120">
            <v>119</v>
          </cell>
        </row>
        <row r="121">
          <cell r="A121">
            <v>120</v>
          </cell>
        </row>
        <row r="122">
          <cell r="A122">
            <v>121</v>
          </cell>
        </row>
        <row r="123">
          <cell r="A123">
            <v>122</v>
          </cell>
        </row>
        <row r="124">
          <cell r="A124">
            <v>123</v>
          </cell>
        </row>
        <row r="125">
          <cell r="A125">
            <v>124</v>
          </cell>
        </row>
        <row r="126">
          <cell r="A126">
            <v>125</v>
          </cell>
        </row>
        <row r="127">
          <cell r="A127">
            <v>126</v>
          </cell>
        </row>
        <row r="128">
          <cell r="A128">
            <v>127</v>
          </cell>
        </row>
        <row r="129">
          <cell r="A129">
            <v>128</v>
          </cell>
        </row>
        <row r="130">
          <cell r="A130">
            <v>129</v>
          </cell>
        </row>
        <row r="131">
          <cell r="A131">
            <v>130</v>
          </cell>
        </row>
        <row r="132">
          <cell r="A132">
            <v>131</v>
          </cell>
        </row>
        <row r="133">
          <cell r="A133">
            <v>132</v>
          </cell>
        </row>
        <row r="134">
          <cell r="A134">
            <v>133</v>
          </cell>
        </row>
        <row r="135">
          <cell r="A135">
            <v>134</v>
          </cell>
        </row>
        <row r="136">
          <cell r="A136">
            <v>135</v>
          </cell>
        </row>
        <row r="137">
          <cell r="A137">
            <v>136</v>
          </cell>
        </row>
        <row r="138">
          <cell r="A138">
            <v>137</v>
          </cell>
        </row>
        <row r="139">
          <cell r="A139">
            <v>138</v>
          </cell>
        </row>
        <row r="140">
          <cell r="A140">
            <v>139</v>
          </cell>
        </row>
        <row r="141">
          <cell r="A141">
            <v>140</v>
          </cell>
        </row>
        <row r="142">
          <cell r="A142">
            <v>141</v>
          </cell>
        </row>
        <row r="143">
          <cell r="A143">
            <v>142</v>
          </cell>
        </row>
        <row r="144">
          <cell r="A144">
            <v>143</v>
          </cell>
        </row>
        <row r="145">
          <cell r="A145">
            <v>144</v>
          </cell>
        </row>
        <row r="146">
          <cell r="A146">
            <v>145</v>
          </cell>
        </row>
        <row r="147">
          <cell r="A147">
            <v>146</v>
          </cell>
        </row>
        <row r="148">
          <cell r="A148">
            <v>147</v>
          </cell>
        </row>
        <row r="149">
          <cell r="A149">
            <v>148</v>
          </cell>
        </row>
        <row r="150">
          <cell r="A150">
            <v>149</v>
          </cell>
        </row>
        <row r="151">
          <cell r="A151">
            <v>150</v>
          </cell>
        </row>
        <row r="152">
          <cell r="A152">
            <v>151</v>
          </cell>
        </row>
        <row r="153">
          <cell r="A153">
            <v>152</v>
          </cell>
        </row>
        <row r="154">
          <cell r="A154">
            <v>153</v>
          </cell>
        </row>
        <row r="155">
          <cell r="A155">
            <v>154</v>
          </cell>
        </row>
        <row r="156">
          <cell r="A156">
            <v>155</v>
          </cell>
        </row>
        <row r="157">
          <cell r="A157">
            <v>156</v>
          </cell>
        </row>
        <row r="158">
          <cell r="A158">
            <v>157</v>
          </cell>
        </row>
        <row r="159">
          <cell r="A159">
            <v>158</v>
          </cell>
        </row>
        <row r="160">
          <cell r="A160">
            <v>159</v>
          </cell>
        </row>
        <row r="161">
          <cell r="A161">
            <v>160</v>
          </cell>
        </row>
        <row r="162">
          <cell r="A162">
            <v>161</v>
          </cell>
        </row>
        <row r="163">
          <cell r="A163">
            <v>162</v>
          </cell>
        </row>
        <row r="164">
          <cell r="A164">
            <v>163</v>
          </cell>
        </row>
        <row r="165">
          <cell r="A165">
            <v>164</v>
          </cell>
        </row>
        <row r="166">
          <cell r="A166">
            <v>165</v>
          </cell>
        </row>
        <row r="167">
          <cell r="A167">
            <v>166</v>
          </cell>
        </row>
        <row r="168">
          <cell r="A168">
            <v>167</v>
          </cell>
        </row>
        <row r="169">
          <cell r="A169">
            <v>168</v>
          </cell>
        </row>
        <row r="170">
          <cell r="A170">
            <v>169</v>
          </cell>
        </row>
      </sheetData>
      <sheetData sheetId="1">
        <row r="2">
          <cell r="A2">
            <v>1000</v>
          </cell>
        </row>
        <row r="3">
          <cell r="A3">
            <v>1001</v>
          </cell>
        </row>
        <row r="4">
          <cell r="A4">
            <v>1002</v>
          </cell>
        </row>
        <row r="5">
          <cell r="A5">
            <v>1003</v>
          </cell>
        </row>
        <row r="6">
          <cell r="A6">
            <v>1004</v>
          </cell>
        </row>
        <row r="7">
          <cell r="A7">
            <v>1005</v>
          </cell>
        </row>
        <row r="8">
          <cell r="A8">
            <v>1006</v>
          </cell>
        </row>
        <row r="9">
          <cell r="A9">
            <v>1007</v>
          </cell>
        </row>
        <row r="10">
          <cell r="A10">
            <v>1008</v>
          </cell>
        </row>
        <row r="11">
          <cell r="A11">
            <v>1009</v>
          </cell>
        </row>
        <row r="12">
          <cell r="A12">
            <v>1010</v>
          </cell>
        </row>
        <row r="13">
          <cell r="A13">
            <v>1011</v>
          </cell>
        </row>
        <row r="14">
          <cell r="A14">
            <v>1012</v>
          </cell>
        </row>
        <row r="15">
          <cell r="A15">
            <v>1013</v>
          </cell>
        </row>
        <row r="16">
          <cell r="A16">
            <v>1014</v>
          </cell>
        </row>
        <row r="17">
          <cell r="A17">
            <v>1015</v>
          </cell>
        </row>
        <row r="18">
          <cell r="A18">
            <v>1016</v>
          </cell>
        </row>
        <row r="19">
          <cell r="A19">
            <v>1017</v>
          </cell>
        </row>
        <row r="20">
          <cell r="A20">
            <v>1018</v>
          </cell>
        </row>
        <row r="21">
          <cell r="A21">
            <v>1019</v>
          </cell>
        </row>
        <row r="22">
          <cell r="A22">
            <v>1020</v>
          </cell>
        </row>
        <row r="23">
          <cell r="A23">
            <v>1021</v>
          </cell>
        </row>
        <row r="24">
          <cell r="A24">
            <v>1022</v>
          </cell>
        </row>
        <row r="25">
          <cell r="A25">
            <v>1023</v>
          </cell>
        </row>
        <row r="26">
          <cell r="A26">
            <v>1024</v>
          </cell>
        </row>
        <row r="27">
          <cell r="A27">
            <v>1025</v>
          </cell>
        </row>
        <row r="28">
          <cell r="A28">
            <v>1026</v>
          </cell>
        </row>
        <row r="29">
          <cell r="A29">
            <v>1027</v>
          </cell>
        </row>
        <row r="30">
          <cell r="A30">
            <v>1028</v>
          </cell>
        </row>
        <row r="31">
          <cell r="A31">
            <v>1029</v>
          </cell>
        </row>
        <row r="32">
          <cell r="A32">
            <v>1030</v>
          </cell>
        </row>
        <row r="33">
          <cell r="A33">
            <v>1031</v>
          </cell>
        </row>
        <row r="34">
          <cell r="A34">
            <v>1032</v>
          </cell>
        </row>
        <row r="35">
          <cell r="A35">
            <v>1033</v>
          </cell>
        </row>
        <row r="36">
          <cell r="A36">
            <v>1034</v>
          </cell>
        </row>
        <row r="37">
          <cell r="A37">
            <v>1035</v>
          </cell>
        </row>
        <row r="38">
          <cell r="A38">
            <v>1036</v>
          </cell>
        </row>
        <row r="39">
          <cell r="A39">
            <v>1037</v>
          </cell>
        </row>
        <row r="40">
          <cell r="A40">
            <v>1038</v>
          </cell>
        </row>
        <row r="41">
          <cell r="A41">
            <v>1039</v>
          </cell>
        </row>
        <row r="42">
          <cell r="A42">
            <v>1040</v>
          </cell>
        </row>
        <row r="43">
          <cell r="A43">
            <v>1041</v>
          </cell>
        </row>
        <row r="44">
          <cell r="A44">
            <v>1042</v>
          </cell>
        </row>
        <row r="45">
          <cell r="A45">
            <v>1043</v>
          </cell>
        </row>
        <row r="46">
          <cell r="A46">
            <v>1044</v>
          </cell>
        </row>
        <row r="47">
          <cell r="A47">
            <v>1045</v>
          </cell>
        </row>
        <row r="48">
          <cell r="A48">
            <v>1046</v>
          </cell>
        </row>
        <row r="49">
          <cell r="A49">
            <v>1047</v>
          </cell>
        </row>
        <row r="50">
          <cell r="A50">
            <v>1048</v>
          </cell>
        </row>
        <row r="51">
          <cell r="A51">
            <v>1049</v>
          </cell>
        </row>
        <row r="52">
          <cell r="A52">
            <v>1050</v>
          </cell>
        </row>
        <row r="53">
          <cell r="A53">
            <v>1051</v>
          </cell>
        </row>
        <row r="54">
          <cell r="A54">
            <v>1052</v>
          </cell>
        </row>
        <row r="55">
          <cell r="A55">
            <v>1053</v>
          </cell>
        </row>
        <row r="56">
          <cell r="A56">
            <v>1054</v>
          </cell>
        </row>
        <row r="57">
          <cell r="A57">
            <v>1055</v>
          </cell>
        </row>
        <row r="58">
          <cell r="A58">
            <v>1056</v>
          </cell>
        </row>
        <row r="59">
          <cell r="A59">
            <v>1057</v>
          </cell>
        </row>
        <row r="60">
          <cell r="A60">
            <v>1058</v>
          </cell>
        </row>
        <row r="61">
          <cell r="A61">
            <v>1059</v>
          </cell>
        </row>
        <row r="62">
          <cell r="A62">
            <v>1060</v>
          </cell>
        </row>
        <row r="63">
          <cell r="A63">
            <v>1061</v>
          </cell>
        </row>
        <row r="64">
          <cell r="A64">
            <v>1062</v>
          </cell>
        </row>
        <row r="65">
          <cell r="A65">
            <v>1063</v>
          </cell>
        </row>
        <row r="66">
          <cell r="A66">
            <v>1064</v>
          </cell>
        </row>
        <row r="67">
          <cell r="A67">
            <v>1065</v>
          </cell>
        </row>
        <row r="68">
          <cell r="A68">
            <v>1066</v>
          </cell>
        </row>
        <row r="69">
          <cell r="A69">
            <v>1067</v>
          </cell>
        </row>
        <row r="70">
          <cell r="A70">
            <v>1068</v>
          </cell>
        </row>
        <row r="71">
          <cell r="A71">
            <v>1069</v>
          </cell>
        </row>
        <row r="72">
          <cell r="A72">
            <v>1070</v>
          </cell>
        </row>
        <row r="73">
          <cell r="A73">
            <v>1071</v>
          </cell>
        </row>
        <row r="74">
          <cell r="A74">
            <v>1072</v>
          </cell>
        </row>
        <row r="75">
          <cell r="A75">
            <v>1073</v>
          </cell>
        </row>
        <row r="76">
          <cell r="A76">
            <v>1074</v>
          </cell>
        </row>
        <row r="77">
          <cell r="A77">
            <v>1075</v>
          </cell>
        </row>
        <row r="78">
          <cell r="A78">
            <v>1076</v>
          </cell>
        </row>
        <row r="79">
          <cell r="A79">
            <v>1077</v>
          </cell>
        </row>
        <row r="80">
          <cell r="A80">
            <v>1078</v>
          </cell>
        </row>
        <row r="81">
          <cell r="A81">
            <v>1079</v>
          </cell>
        </row>
        <row r="82">
          <cell r="A82">
            <v>1080</v>
          </cell>
        </row>
        <row r="83">
          <cell r="A83">
            <v>1081</v>
          </cell>
        </row>
        <row r="84">
          <cell r="A84">
            <v>1082</v>
          </cell>
        </row>
        <row r="85">
          <cell r="A85">
            <v>1083</v>
          </cell>
        </row>
        <row r="86">
          <cell r="A86">
            <v>1084</v>
          </cell>
        </row>
        <row r="87">
          <cell r="A87">
            <v>1085</v>
          </cell>
        </row>
        <row r="88">
          <cell r="A88">
            <v>1086</v>
          </cell>
        </row>
        <row r="89">
          <cell r="A89">
            <v>1087</v>
          </cell>
        </row>
        <row r="90">
          <cell r="A90">
            <v>1088</v>
          </cell>
        </row>
        <row r="91">
          <cell r="A91">
            <v>1089</v>
          </cell>
        </row>
        <row r="92">
          <cell r="A92">
            <v>1090</v>
          </cell>
        </row>
        <row r="93">
          <cell r="A93">
            <v>1091</v>
          </cell>
        </row>
        <row r="94">
          <cell r="A94">
            <v>1092</v>
          </cell>
        </row>
        <row r="95">
          <cell r="A95">
            <v>1093</v>
          </cell>
        </row>
        <row r="96">
          <cell r="A96">
            <v>1094</v>
          </cell>
        </row>
        <row r="97">
          <cell r="A97">
            <v>1095</v>
          </cell>
        </row>
        <row r="98">
          <cell r="A98">
            <v>1096</v>
          </cell>
        </row>
        <row r="99">
          <cell r="A99">
            <v>1097</v>
          </cell>
        </row>
        <row r="100">
          <cell r="A100">
            <v>1098</v>
          </cell>
        </row>
        <row r="101">
          <cell r="A101">
            <v>1099</v>
          </cell>
        </row>
        <row r="102">
          <cell r="A102">
            <v>1100</v>
          </cell>
        </row>
        <row r="103">
          <cell r="A103">
            <v>1101</v>
          </cell>
        </row>
        <row r="104">
          <cell r="A104">
            <v>1102</v>
          </cell>
        </row>
        <row r="105">
          <cell r="A105">
            <v>1103</v>
          </cell>
        </row>
        <row r="106">
          <cell r="A106">
            <v>1104</v>
          </cell>
        </row>
        <row r="107">
          <cell r="A107">
            <v>1105</v>
          </cell>
        </row>
        <row r="108">
          <cell r="A108">
            <v>1106</v>
          </cell>
        </row>
        <row r="109">
          <cell r="A109">
            <v>1107</v>
          </cell>
        </row>
      </sheetData>
      <sheetData sheetId="2">
        <row r="2">
          <cell r="A2">
            <v>3000</v>
          </cell>
        </row>
        <row r="3">
          <cell r="A3">
            <v>3001</v>
          </cell>
        </row>
        <row r="4">
          <cell r="A4">
            <v>3002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4"/>
  <sheetViews>
    <sheetView zoomScale="130" zoomScaleNormal="130" workbookViewId="0">
      <pane ySplit="1" topLeftCell="A2" activePane="bottomLeft" state="frozen"/>
      <selection/>
      <selection pane="bottomLeft" activeCell="B12" sqref="B12"/>
    </sheetView>
  </sheetViews>
  <sheetFormatPr defaultColWidth="22.4047619047619" defaultRowHeight="18" outlineLevelCol="2"/>
  <cols>
    <col min="1" max="1" width="22.4047619047619" style="2"/>
    <col min="2" max="2" width="33.7936507936508" style="2" customWidth="1"/>
    <col min="3" max="16384" width="22.404761904761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>
        <v>9091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>
      <c r="A7" s="2" t="s">
        <v>17</v>
      </c>
      <c r="B7" s="2">
        <v>1883</v>
      </c>
      <c r="C7" s="2" t="s">
        <v>18</v>
      </c>
    </row>
    <row r="8" spans="1:3">
      <c r="A8" s="2" t="s">
        <v>19</v>
      </c>
      <c r="B8" s="2" t="s">
        <v>20</v>
      </c>
      <c r="C8" s="2" t="s">
        <v>21</v>
      </c>
    </row>
    <row r="9" spans="1:3">
      <c r="A9" s="2" t="s">
        <v>22</v>
      </c>
      <c r="B9" s="2" t="s">
        <v>23</v>
      </c>
      <c r="C9" s="2" t="s">
        <v>24</v>
      </c>
    </row>
    <row r="10" spans="1:3">
      <c r="A10" s="2" t="s">
        <v>25</v>
      </c>
      <c r="B10" s="2" t="s">
        <v>26</v>
      </c>
      <c r="C10" s="2" t="s">
        <v>27</v>
      </c>
    </row>
    <row r="11" spans="1:3">
      <c r="A11" s="2" t="s">
        <v>28</v>
      </c>
      <c r="B11" s="2" t="s">
        <v>29</v>
      </c>
      <c r="C11" s="2" t="s">
        <v>30</v>
      </c>
    </row>
    <row r="12" spans="1:3">
      <c r="A12" s="2" t="s">
        <v>31</v>
      </c>
      <c r="B12" s="2" t="s">
        <v>10</v>
      </c>
      <c r="C12" s="2" t="s">
        <v>32</v>
      </c>
    </row>
    <row r="13" spans="1:3">
      <c r="A13" s="2" t="s">
        <v>33</v>
      </c>
      <c r="B13" s="2">
        <v>9092</v>
      </c>
      <c r="C13" s="2" t="s">
        <v>34</v>
      </c>
    </row>
    <row r="14" spans="1:3">
      <c r="A14" s="2" t="s">
        <v>35</v>
      </c>
      <c r="B14" s="2" t="s">
        <v>36</v>
      </c>
      <c r="C14" s="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4"/>
  <sheetViews>
    <sheetView zoomScale="130" zoomScaleNormal="130" workbookViewId="0">
      <pane ySplit="1" topLeftCell="A2" activePane="bottomLeft" state="frozen"/>
      <selection/>
      <selection pane="bottomLeft" activeCell="D11" sqref="D11"/>
    </sheetView>
  </sheetViews>
  <sheetFormatPr defaultColWidth="9" defaultRowHeight="18" outlineLevelRow="3" outlineLevelCol="4"/>
  <cols>
    <col min="1" max="1" width="6.46031746031746" style="2" customWidth="1"/>
    <col min="2" max="2" width="20.9285714285714" style="2" customWidth="1"/>
    <col min="3" max="3" width="20.3333333333333" style="2" customWidth="1"/>
    <col min="4" max="4" width="12.0952380952381" style="2" customWidth="1"/>
    <col min="5" max="16384" width="9" style="2"/>
  </cols>
  <sheetData>
    <row r="1" s="1" customFormat="1" spans="1:5">
      <c r="A1" s="1" t="s">
        <v>38</v>
      </c>
      <c r="B1" s="1" t="s">
        <v>39</v>
      </c>
      <c r="C1" s="1" t="s">
        <v>40</v>
      </c>
      <c r="D1" s="1" t="s">
        <v>41</v>
      </c>
      <c r="E1" s="2"/>
    </row>
    <row r="2" spans="1:5">
      <c r="A2" s="2">
        <v>1</v>
      </c>
      <c r="B2" s="2" t="s">
        <v>42</v>
      </c>
      <c r="C2" s="2" t="s">
        <v>43</v>
      </c>
      <c r="D2" s="2" t="s">
        <v>44</v>
      </c>
    </row>
    <row r="3" spans="1:5">
      <c r="A3" s="2">
        <v>2</v>
      </c>
      <c r="B3" s="2" t="s">
        <v>45</v>
      </c>
      <c r="C3" s="2" t="s">
        <v>43</v>
      </c>
      <c r="D3" s="2" t="s">
        <v>44</v>
      </c>
    </row>
    <row r="4" spans="1:5">
      <c r="A4" s="2">
        <v>3</v>
      </c>
      <c r="B4" s="2" t="s">
        <v>46</v>
      </c>
      <c r="C4" s="2" t="s">
        <v>47</v>
      </c>
      <c r="D4" s="2" t="s">
        <v>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4"/>
  <sheetViews>
    <sheetView zoomScale="70" zoomScaleNormal="70" workbookViewId="0">
      <pane ySplit="1" topLeftCell="A2" activePane="bottomLeft" state="frozen"/>
      <selection/>
      <selection pane="bottomLeft" activeCell="R6" sqref="R6"/>
    </sheetView>
  </sheetViews>
  <sheetFormatPr defaultColWidth="9" defaultRowHeight="18" outlineLevelRow="3"/>
  <cols>
    <col min="1" max="1" width="6.46031746031746" style="2" customWidth="1"/>
    <col min="2" max="2" width="15.5952380952381" style="2" customWidth="1"/>
    <col min="3" max="3" width="13.4603174603175" style="2" customWidth="1"/>
    <col min="4" max="4" width="15.8015873015873" style="2" customWidth="1"/>
    <col min="5" max="5" width="44.531746031746" style="2" customWidth="1"/>
    <col min="6" max="7" width="12.1984126984127" style="2" customWidth="1"/>
    <col min="8" max="8" width="16.6031746031746" style="2" customWidth="1"/>
    <col min="9" max="10" width="12.1984126984127" style="2" customWidth="1"/>
    <col min="11" max="11" width="16.6666666666667" style="2" customWidth="1"/>
    <col min="12" max="16" width="12.1984126984127" style="2" customWidth="1"/>
    <col min="17" max="17" width="9.07142857142857" style="2"/>
    <col min="18" max="18" width="17.452380952381" style="2" customWidth="1"/>
    <col min="19" max="16384" width="9.07142857142857" style="2"/>
  </cols>
  <sheetData>
    <row r="1" s="1" customFormat="1" spans="1:19">
      <c r="A1" s="1" t="s">
        <v>38</v>
      </c>
      <c r="B1" s="1" t="s">
        <v>39</v>
      </c>
      <c r="C1" s="1" t="s">
        <v>40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1" t="s">
        <v>41</v>
      </c>
      <c r="R1" s="1" t="s">
        <v>62</v>
      </c>
      <c r="S1" s="1" t="s">
        <v>63</v>
      </c>
    </row>
    <row r="2" spans="1:19">
      <c r="A2" s="2">
        <f>devices!A2</f>
        <v>1</v>
      </c>
      <c r="B2" s="2" t="s">
        <v>42</v>
      </c>
      <c r="C2" s="2" t="s">
        <v>43</v>
      </c>
      <c r="D2" s="3" t="s">
        <v>64</v>
      </c>
      <c r="E2" s="2" t="s">
        <v>65</v>
      </c>
      <c r="F2" s="2">
        <v>1000</v>
      </c>
      <c r="G2" s="2">
        <v>1000</v>
      </c>
      <c r="H2" s="2" t="s">
        <v>66</v>
      </c>
      <c r="I2" s="2">
        <v>502</v>
      </c>
      <c r="J2" s="2">
        <v>1</v>
      </c>
      <c r="R2" s="2">
        <v>50</v>
      </c>
      <c r="S2" s="2">
        <v>5</v>
      </c>
    </row>
    <row r="3" spans="1:19">
      <c r="A3" s="2">
        <f>devices!A3</f>
        <v>2</v>
      </c>
      <c r="B3" s="2" t="s">
        <v>45</v>
      </c>
      <c r="C3" s="2" t="s">
        <v>43</v>
      </c>
      <c r="D3" s="2" t="s">
        <v>64</v>
      </c>
      <c r="E3" s="2" t="s">
        <v>65</v>
      </c>
      <c r="F3" s="2">
        <v>1000</v>
      </c>
      <c r="G3" s="2">
        <v>1000</v>
      </c>
      <c r="H3" s="2" t="s">
        <v>67</v>
      </c>
      <c r="I3" s="2">
        <v>502</v>
      </c>
      <c r="J3" s="2">
        <v>1</v>
      </c>
      <c r="R3" s="2">
        <v>50</v>
      </c>
      <c r="S3" s="2">
        <v>5</v>
      </c>
    </row>
    <row r="4" spans="1:19">
      <c r="A4" s="2">
        <v>3</v>
      </c>
      <c r="B4" s="2" t="s">
        <v>46</v>
      </c>
      <c r="C4" s="2" t="s">
        <v>47</v>
      </c>
      <c r="D4" s="2" t="s">
        <v>68</v>
      </c>
      <c r="E4" s="2" t="s">
        <v>69</v>
      </c>
      <c r="I4" s="2">
        <v>2404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70" zoomScaleNormal="70" workbookViewId="0">
      <pane ySplit="1" topLeftCell="A2" activePane="bottomLeft" state="frozen"/>
      <selection/>
      <selection pane="bottomLeft" activeCell="C10" sqref="C10"/>
    </sheetView>
  </sheetViews>
  <sheetFormatPr defaultColWidth="9.11111111111111" defaultRowHeight="18" outlineLevelCol="6"/>
  <cols>
    <col min="1" max="1" width="11.7619047619048" style="2" customWidth="1"/>
    <col min="2" max="2" width="27.0952380952381" style="2" customWidth="1"/>
    <col min="3" max="3" width="184.373015873016" style="2" customWidth="1"/>
    <col min="4" max="4" width="7.17460317460317" style="2" customWidth="1"/>
    <col min="5" max="5" width="10.2936507936508" style="2" customWidth="1"/>
    <col min="6" max="6" width="10.4365079365079" style="2" customWidth="1"/>
    <col min="7" max="16384" width="9.11111111111111" style="2"/>
  </cols>
  <sheetData>
    <row r="1" s="1" customFormat="1" spans="1:7">
      <c r="A1" s="1" t="s">
        <v>70</v>
      </c>
      <c r="B1" s="1" t="s">
        <v>71</v>
      </c>
      <c r="C1" s="1" t="s">
        <v>72</v>
      </c>
      <c r="D1" s="1" t="s">
        <v>73</v>
      </c>
      <c r="E1" s="2"/>
      <c r="F1" s="2"/>
      <c r="G1" s="2"/>
    </row>
    <row r="2" spans="1:7">
      <c r="A2" s="2" t="s">
        <v>42</v>
      </c>
      <c r="B2" s="2" t="s">
        <v>74</v>
      </c>
      <c r="C2" s="2" t="str">
        <f>_xlfn.TEXTJOIN(",",TRUE,[1]遥测!$A$56:$A$71)&amp;",65535"</f>
        <v>58,59,60,61,62,63,64,65,66,67,68,69,70,71,65535</v>
      </c>
      <c r="D2" s="3">
        <v>1</v>
      </c>
    </row>
    <row r="3" spans="1:7">
      <c r="A3" s="2" t="s">
        <v>42</v>
      </c>
      <c r="B3" s="2" t="s">
        <v>75</v>
      </c>
      <c r="C3" s="2" t="str">
        <f>_xlfn.TEXTJOIN(",",TRUE,[1]遥测!$A$2:$A$55)</f>
        <v>1,2,3,4,5,6,7,8,9,10,11,12,13,14,15,16,17,18,19,20,21,22,23,24,25,26,27,28,29,30,35,36,31,32,33,34,40,41,42,43,44,45,46,47,48,49,50,51,52,53,54,55,56,57</v>
      </c>
      <c r="D3" s="3">
        <v>1</v>
      </c>
    </row>
    <row r="4" spans="1:7">
      <c r="A4" s="2" t="s">
        <v>42</v>
      </c>
      <c r="B4" s="2" t="s">
        <v>76</v>
      </c>
      <c r="C4" s="2" t="str">
        <f>_xlfn.TEXTJOIN(",",TRUE,[1]遥调!$A$2:$A$31)</f>
        <v>2000,2001,2002,2003,2004,2005,2006,2007,2008,2009,2010,2011,2012,2013,2014,2015,2016,2017,2018,2019,2021,2020,2022,2023,2024,2025,2026,2027,2028,2029</v>
      </c>
      <c r="D4" s="3">
        <v>1</v>
      </c>
    </row>
    <row r="5" spans="1:7">
      <c r="A5" s="3" t="s">
        <v>45</v>
      </c>
      <c r="B5" s="3" t="s">
        <v>77</v>
      </c>
      <c r="C5" s="3" t="str">
        <f>_xlfn.TEXTJOIN(",",TRUE,[1]遥测!$A$56:$A$71)&amp;",65535"</f>
        <v>58,59,60,61,62,63,64,65,66,67,68,69,70,71,65535</v>
      </c>
      <c r="D5" s="3">
        <v>1</v>
      </c>
    </row>
    <row r="6" spans="1:7">
      <c r="A6" s="3" t="s">
        <v>45</v>
      </c>
      <c r="B6" s="3" t="s">
        <v>78</v>
      </c>
      <c r="C6" s="3" t="str">
        <f>_xlfn.TEXTJOIN(",",TRUE,[1]遥测!$A$2:$A$55)</f>
        <v>1,2,3,4,5,6,7,8,9,10,11,12,13,14,15,16,17,18,19,20,21,22,23,24,25,26,27,28,29,30,35,36,31,32,33,34,40,41,42,43,44,45,46,47,48,49,50,51,52,53,54,55,56,57</v>
      </c>
      <c r="D6" s="3">
        <v>1</v>
      </c>
    </row>
    <row r="7" spans="1:7">
      <c r="A7" s="3" t="s">
        <v>45</v>
      </c>
      <c r="B7" s="3" t="s">
        <v>79</v>
      </c>
      <c r="C7" s="3" t="str">
        <f>_xlfn.TEXTJOIN(",",TRUE,[1]遥调!$A$2:$A$31)</f>
        <v>2000,2001,2002,2003,2004,2005,2006,2007,2008,2009,2010,2011,2012,2013,2014,2015,2016,2017,2018,2019,2021,2020,2022,2023,2024,2025,2026,2027,2028,2029</v>
      </c>
      <c r="D7" s="3">
        <v>1</v>
      </c>
    </row>
    <row r="8" spans="1:7">
      <c r="A8" s="2" t="s">
        <v>46</v>
      </c>
      <c r="B8" s="2" t="s">
        <v>80</v>
      </c>
      <c r="C8" s="2" t="str">
        <f>_xlfn.TEXTJOIN(",",TRUE,[2]遥测!$A$2:$A$170)</f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</v>
      </c>
      <c r="D8" s="3">
        <v>1</v>
      </c>
    </row>
    <row r="9" spans="1:7">
      <c r="A9" s="2" t="s">
        <v>46</v>
      </c>
      <c r="B9" s="2" t="s">
        <v>81</v>
      </c>
      <c r="C9" s="2" t="str">
        <f>_xlfn.TEXTJOIN(",",TRUE,[2]遥信!$A$2:$A$170)</f>
        <v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</v>
      </c>
      <c r="D9" s="4">
        <v>1</v>
      </c>
    </row>
    <row r="10" spans="1:7">
      <c r="A10" s="2" t="s">
        <v>46</v>
      </c>
      <c r="B10" s="2" t="s">
        <v>82</v>
      </c>
      <c r="C10" s="2" t="str">
        <f>_xlfn.TEXTJOIN(",",TRUE,[2]遥控!$A$2:$A$170)</f>
        <v>3000,3001,3002</v>
      </c>
      <c r="D10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mikasa</cp:lastModifiedBy>
  <dcterms:created xsi:type="dcterms:W3CDTF">2023-05-24T19:15:00Z</dcterms:created>
  <dcterms:modified xsi:type="dcterms:W3CDTF">2026-07-16T14:20:31Z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