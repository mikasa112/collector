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5404" windowHeight="10825" activeTab="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<sst xmlns="http://schemas.openxmlformats.org/spreadsheetml/2006/main" count="97" uniqueCount="78">
  <si>
    <t>key</t>
  </si>
  <si>
    <t>value</t>
  </si>
  <si>
    <t>备注</t>
  </si>
  <si>
    <t>product_type</t>
  </si>
  <si>
    <t>TEST_EMS</t>
  </si>
  <si>
    <t>项目类型</t>
  </si>
  <si>
    <t>project</t>
  </si>
  <si>
    <t>中车测试平台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</si>
  <si>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</si>
  <si>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</si>
  <si>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</si>
  <si>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</si>
  <si>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</si>
  <si>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</si>
  <si>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</si>
  <si>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127.0.0.1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</si>
  <si>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</si>
  <si>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</si>
  <si>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</si>
  <si>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</si>
  <si>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</si>
  <si>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</si>
  <si>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</si>
  <si>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</si>
  <si>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</si>
  <si>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</si>
  <si>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/asw/+/+/setyt</t>
  </si>
  <si>
    <t>MQTT遥调</t>
  </si>
  <si>
    <t>mqtt_yk</t>
  </si>
  <si>
    <t>/asw/+/+/setyk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</si>
  <si>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</si>
  <si>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</si>
  <si>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</si>
  <si>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</si>
  <si>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</si>
  <si>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</si>
  <si>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</si>
  <si>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</si>
  <si>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</si>
  <si>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</si>
  <si>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</si>
  <si>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</si>
  <si>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</si>
  <si>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</si>
  <si>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2.5MW</t>
  </si>
  <si>
    <t>pcs2</t>
  </si>
  <si>
    <t>crd</t>
  </si>
  <si>
    <t>CRD</t>
  </si>
  <si>
    <t>测控柜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</si>
  <si>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</si>
  <si>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</si>
  <si>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</si>
  <si>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</si>
  <si>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</si>
  <si>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</si>
  <si>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</si>
  <si>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</si>
  <si>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</si>
  <si>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</si>
  <si>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</si>
  <si>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</si>
  <si>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</si>
  <si>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requestInterval</t>
  </si>
  <si>
    <t>maxGap</t>
  </si>
  <si>
    <t>ModbusTCP</t>
  </si>
  <si>
    <t>./config/PCS_英博_大机_V3.6.xlsx</t>
  </si>
  <si>
    <t>192.168.0.1</t>
  </si>
  <si>
    <t>192.168.0.2</t>
  </si>
  <si>
    <t>device_id</t>
  </si>
  <si>
    <t>topic</t>
  </si>
  <si>
    <t>point_ids</t>
  </si>
  <si>
    <t>enable</t>
  </si>
  <si>
    <t>/pds/pcs/0/yx</t>
  </si>
  <si>
    <t>/pds/pcs/0/yc</t>
  </si>
  <si>
    <t>/pds/pcs/0/yt</t>
  </si>
  <si>
    <t>/pds/pcs/1/yx</t>
  </si>
  <si>
    <t>/pds/pcs/1/yc</t>
  </si>
  <si>
    <t>/pds/pcs/1/yt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</si>
</sst>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_V3.6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35</v>
          </cell>
        </row>
        <row r="33">
          <cell r="A33">
            <v>36</v>
          </cell>
        </row>
        <row r="34">
          <cell r="A34">
            <v>31</v>
          </cell>
        </row>
        <row r="35">
          <cell r="A35">
            <v>32</v>
          </cell>
        </row>
        <row r="36">
          <cell r="A36">
            <v>33</v>
          </cell>
        </row>
        <row r="37">
          <cell r="A37">
            <v>34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2021</v>
          </cell>
        </row>
        <row r="23">
          <cell r="A23">
            <v>2020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zoomScale="130" zoomScaleNormal="130" workbookViewId="0">
      <pane ySplit="1" topLeftCell="A2" activePane="bottomLeft" state="frozen"/>
      <selection/>
      <selection pane="bottomLeft" activeCell="B12" sqref="B12"/>
    </sheetView>
  </sheetViews>
  <sheetFormatPr defaultColWidth="22.4047619047619" defaultRowHeight="18" outlineLevelCol="2"/>
  <cols>
    <col min="1" max="1" width="22.4047619047619" style="2"/>
    <col min="2" max="2" width="33.7936507936508" style="2" customWidth="1"/>
    <col min="3" max="16384" width="22.4047619047619" style="2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6</v>
      </c>
      <c r="B3" s="2" t="s">
        <v>7</v>
      </c>
      <c r="C3" s="2" t="s">
        <v>8</v>
      </c>
    </row>
    <row r="4" spans="1:3">
      <c r="A4" s="2" t="s">
        <v>9</v>
      </c>
      <c r="B4" s="2" t="s">
        <v>10</v>
      </c>
      <c r="C4" s="2" t="s">
        <v>11</v>
      </c>
    </row>
    <row r="5" spans="1:3">
      <c r="A5" s="2" t="s">
        <v>12</v>
      </c>
      <c r="B5" s="2">
        <v>9091</v>
      </c>
      <c r="C5" s="2" t="s">
        <v>13</v>
      </c>
    </row>
    <row r="6" spans="1:3">
      <c r="A6" s="2" t="s">
        <v>14</v>
      </c>
      <c r="B6" s="2" t="s">
        <v>15</v>
      </c>
      <c r="C6" s="2" t="s">
        <v>16</v>
      </c>
    </row>
    <row r="7" spans="1:3">
      <c r="A7" s="2" t="s">
        <v>17</v>
      </c>
      <c r="B7" s="2">
        <v>1883</v>
      </c>
      <c r="C7" s="2" t="s">
        <v>18</v>
      </c>
    </row>
    <row r="8" spans="1:3">
      <c r="A8" s="2" t="s">
        <v>19</v>
      </c>
      <c r="B8" s="2" t="s">
        <v>20</v>
      </c>
      <c r="C8" s="2" t="s">
        <v>21</v>
      </c>
    </row>
    <row r="9" spans="1:3">
      <c r="A9" s="2" t="s">
        <v>22</v>
      </c>
      <c r="B9" s="2" t="s">
        <v>23</v>
      </c>
      <c r="C9" s="2" t="s">
        <v>24</v>
      </c>
    </row>
    <row r="10" spans="1:3">
      <c r="A10" s="2" t="s">
        <v>25</v>
      </c>
      <c r="B10" s="2" t="s">
        <v>26</v>
      </c>
      <c r="C10" s="2" t="s">
        <v>27</v>
      </c>
    </row>
    <row r="11" spans="1:3">
      <c r="A11" s="2" t="s">
        <v>28</v>
      </c>
      <c r="B11" s="2" t="s">
        <v>29</v>
      </c>
      <c r="C11" s="2" t="s">
        <v>30</v>
      </c>
    </row>
    <row r="12" spans="1:3">
      <c r="A12" s="2" t="s">
        <v>31</v>
      </c>
      <c r="B12" s="2" t="s">
        <v>10</v>
      </c>
      <c r="C12" s="2" t="s">
        <v>32</v>
      </c>
    </row>
    <row r="13" spans="1:3">
      <c r="A13" s="2" t="s">
        <v>33</v>
      </c>
      <c r="B13" s="2">
        <v>9092</v>
      </c>
      <c r="C13" s="2" t="s">
        <v>34</v>
      </c>
    </row>
    <row r="14" spans="1:3">
      <c r="A14" s="2" t="s">
        <v>35</v>
      </c>
      <c r="B14" s="2" t="s">
        <v>36</v>
      </c>
      <c r="C14" s="2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4"/>
  <sheetViews>
    <sheetView zoomScale="130" zoomScaleNormal="130" workbookViewId="0">
      <pane ySplit="1" topLeftCell="A2" activePane="bottomLeft" state="frozen"/>
      <selection/>
      <selection pane="bottomLeft" activeCell="D3" sqref="D3"/>
    </sheetView>
  </sheetViews>
  <sheetFormatPr defaultColWidth="9" defaultRowHeight="18" outlineLevelRow="3" outlineLevelCol="4"/>
  <cols>
    <col min="1" max="1" width="6.46031746031746" style="2" customWidth="1"/>
    <col min="2" max="2" width="20.9285714285714" style="2" customWidth="1"/>
    <col min="3" max="3" width="20.3333333333333" style="2" customWidth="1"/>
    <col min="4" max="4" width="12.0952380952381" style="2" customWidth="1"/>
    <col min="5" max="16384" width="9" style="2"/>
  </cols>
  <sheetData>
    <row r="1" s="1" customFormat="1" spans="1:5">
      <c r="A1" s="1" t="s">
        <v>38</v>
      </c>
      <c r="B1" s="1" t="s">
        <v>39</v>
      </c>
      <c r="C1" s="1" t="s">
        <v>40</v>
      </c>
      <c r="D1" s="1" t="s">
        <v>41</v>
      </c>
      <c r="E1" s="2"/>
    </row>
    <row r="2" spans="1:5">
      <c r="A2" s="2">
        <v>1</v>
      </c>
      <c r="B2" s="2" t="s">
        <v>42</v>
      </c>
      <c r="C2" s="2" t="s">
        <v>43</v>
      </c>
      <c r="D2" s="2" t="s">
        <v>44</v>
      </c>
    </row>
    <row r="3" spans="1:5">
      <c r="A3" s="2">
        <v>2</v>
      </c>
      <c r="B3" s="2" t="s">
        <v>45</v>
      </c>
      <c r="C3" s="2" t="s">
        <v>43</v>
      </c>
      <c r="D3" s="2" t="s">
        <v>44</v>
      </c>
    </row>
    <row r="4" spans="1:5">
      <c r="A4" s="2">
        <v>3</v>
      </c>
      <c r="B4" s="2" t="s">
        <v>46</v>
      </c>
      <c r="C4" s="2" t="s">
        <v>47</v>
      </c>
      <c r="D4" s="2" t="s">
        <v>48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S3"/>
  <sheetViews>
    <sheetView tabSelected="1" zoomScale="85" zoomScaleNormal="85" topLeftCell="I1" workbookViewId="0">
      <pane ySplit="1" topLeftCell="A2" activePane="bottomLeft" state="frozen"/>
      <selection/>
      <selection pane="bottomLeft" activeCell="B6" sqref="B6"/>
    </sheetView>
  </sheetViews>
  <sheetFormatPr defaultColWidth="9" defaultRowHeight="18" outlineLevelRow="2"/>
  <cols>
    <col min="1" max="1" width="6.46031746031746" style="2" customWidth="1"/>
    <col min="2" max="2" width="15.5952380952381" style="2" customWidth="1"/>
    <col min="3" max="3" width="13.4603174603175" style="2" customWidth="1"/>
    <col min="4" max="4" width="15.8015873015873" style="2" customWidth="1"/>
    <col min="5" max="5" width="44.531746031746" style="2" customWidth="1"/>
    <col min="6" max="7" width="12.1984126984127" style="2" customWidth="1"/>
    <col min="8" max="8" width="16.6031746031746" style="2" customWidth="1"/>
    <col min="9" max="10" width="12.1984126984127" style="2" customWidth="1"/>
    <col min="11" max="11" width="16.6666666666667" style="2" customWidth="1"/>
    <col min="12" max="16" width="12.1984126984127" style="2" customWidth="1"/>
    <col min="17" max="17" width="9.07142857142857" style="2"/>
    <col min="18" max="18" width="17.452380952381" style="2" customWidth="1"/>
    <col min="19" max="16384" width="9.07142857142857" style="2"/>
  </cols>
  <sheetData>
    <row r="1" s="1" customFormat="1" spans="1:19">
      <c r="A1" s="1" t="s">
        <v>38</v>
      </c>
      <c r="B1" s="1" t="s">
        <v>39</v>
      </c>
      <c r="C1" s="1" t="s">
        <v>40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1" t="s">
        <v>54</v>
      </c>
      <c r="J1" s="1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1" t="s">
        <v>41</v>
      </c>
      <c r="R1" s="1" t="s">
        <v>62</v>
      </c>
      <c r="S1" s="1" t="s">
        <v>63</v>
      </c>
    </row>
    <row r="2" spans="1:19">
      <c r="A2" s="2">
        <f>devices!A2</f>
        <v>1</v>
      </c>
      <c r="B2" s="2" t="s">
        <v>42</v>
      </c>
      <c r="C2" s="2" t="s">
        <v>43</v>
      </c>
      <c r="D2" s="3" t="s">
        <v>64</v>
      </c>
      <c r="E2" s="2" t="s">
        <v>65</v>
      </c>
      <c r="F2" s="2">
        <v>1000</v>
      </c>
      <c r="G2" s="2">
        <v>1000</v>
      </c>
      <c r="H2" s="2" t="s">
        <v>66</v>
      </c>
      <c r="I2" s="2">
        <v>502</v>
      </c>
      <c r="J2" s="2">
        <v>1</v>
      </c>
      <c r="R2" s="2">
        <v>50</v>
      </c>
      <c r="S2" s="2">
        <v>5</v>
      </c>
    </row>
    <row r="3" spans="1:19">
      <c r="A3" s="2">
        <f>devices!A3</f>
        <v>2</v>
      </c>
      <c r="B3" s="2" t="s">
        <v>45</v>
      </c>
      <c r="C3" s="2" t="s">
        <v>43</v>
      </c>
      <c r="D3" s="2" t="s">
        <v>64</v>
      </c>
      <c r="E3" s="2" t="s">
        <v>65</v>
      </c>
      <c r="F3" s="2">
        <v>1000</v>
      </c>
      <c r="G3" s="2">
        <v>1000</v>
      </c>
      <c r="H3" s="2" t="s">
        <v>67</v>
      </c>
      <c r="I3" s="2">
        <v>502</v>
      </c>
      <c r="J3" s="2">
        <v>1</v>
      </c>
      <c r="R3" s="2">
        <v>50</v>
      </c>
      <c r="S3" s="2">
        <v>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ySplit="1" topLeftCell="A2" activePane="bottomLeft" state="frozen"/>
      <selection/>
      <selection pane="bottomLeft" activeCell="C13" sqref="C13"/>
    </sheetView>
  </sheetViews>
  <sheetFormatPr defaultColWidth="9.11111111111111" defaultRowHeight="18" outlineLevelRow="6" outlineLevelCol="6"/>
  <cols>
    <col min="1" max="1" width="11.7619047619048" style="2" customWidth="1"/>
    <col min="2" max="2" width="27.0952380952381" style="2" customWidth="1"/>
    <col min="3" max="3" width="212.15873015873" style="2" customWidth="1"/>
    <col min="4" max="4" width="20.3968253968254" style="2" customWidth="1"/>
    <col min="5" max="5" width="10.2936507936508" style="2" customWidth="1"/>
    <col min="6" max="6" width="10.4365079365079" style="2" customWidth="1"/>
    <col min="7" max="16384" width="9.11111111111111" style="2"/>
  </cols>
  <sheetData>
    <row r="1" s="1" customFormat="1" spans="1:7">
      <c r="A1" s="1" t="s">
        <v>68</v>
      </c>
      <c r="B1" s="1" t="s">
        <v>69</v>
      </c>
      <c r="C1" s="1" t="s">
        <v>70</v>
      </c>
      <c r="D1" s="1" t="s">
        <v>71</v>
      </c>
      <c r="E1" s="2"/>
      <c r="F1" s="2"/>
      <c r="G1" s="2"/>
    </row>
    <row r="2" spans="1:7">
      <c r="A2" s="2" t="s">
        <v>42</v>
      </c>
      <c r="B2" s="2" t="s">
        <v>72</v>
      </c>
      <c r="C2" s="2" t="str">
        <f>_xlfn.TEXTJOIN(",",TRUE,[1]遥测!$A$56:$A$71)&amp;",65535"</f>
        <v>58,59,60,61,62,63,64,65,66,67,68,69,70,71,65535</v>
      </c>
      <c r="D2" s="3">
        <v>1</v>
      </c>
    </row>
    <row r="3" spans="1:7">
      <c r="A3" s="2" t="s">
        <v>42</v>
      </c>
      <c r="B3" s="2" t="s">
        <v>73</v>
      </c>
      <c r="C3" s="2" t="str">
        <f>_xlfn.TEXTJOIN(",",TRUE,[1]遥测!$A$2:$A$55)</f>
        <v>1,2,3,4,5,6,7,8,9,10,11,12,13,14,15,16,17,18,19,20,21,22,23,24,25,26,27,28,29,30,35,36,31,32,33,34,40,41,42,43,44,45,46,47,48,49,50,51,52,53,54,55,56,57</v>
      </c>
      <c r="D3" s="3">
        <v>1</v>
      </c>
    </row>
    <row r="4" spans="1:7">
      <c r="A4" s="2" t="s">
        <v>42</v>
      </c>
      <c r="B4" s="2" t="s">
        <v>74</v>
      </c>
      <c r="C4" s="2" t="str">
        <f>_xlfn.TEXTJOIN(",",TRUE,[1]遥调!$A$2:$A$31)</f>
        <v>2000,2001,2002,2003,2004,2005,2006,2007,2008,2009,2010,2011,2012,2013,2014,2015,2016,2017,2018,2019,2021,2020,2022,2023,2024,2025,2026,2027,2028,2029</v>
      </c>
      <c r="D4" s="3">
        <v>1</v>
      </c>
    </row>
    <row r="5" spans="1:7">
      <c r="A5" s="3" t="s">
        <v>45</v>
      </c>
      <c r="B5" s="3" t="s">
        <v>75</v>
      </c>
      <c r="C5" s="3" t="str">
        <f>_xlfn.TEXTJOIN(",",TRUE,[1]遥测!$A$56:$A$71)&amp;",65535"</f>
        <v>58,59,60,61,62,63,64,65,66,67,68,69,70,71,65535</v>
      </c>
      <c r="D5" s="3">
        <v>1</v>
      </c>
    </row>
    <row r="6" spans="1:7">
      <c r="A6" s="3" t="s">
        <v>45</v>
      </c>
      <c r="B6" s="3" t="s">
        <v>76</v>
      </c>
      <c r="C6" s="3" t="str">
        <f>_xlfn.TEXTJOIN(",",TRUE,[1]遥测!$A$2:$A$55)</f>
        <v>1,2,3,4,5,6,7,8,9,10,11,12,13,14,15,16,17,18,19,20,21,22,23,24,25,26,27,28,29,30,35,36,31,32,33,34,40,41,42,43,44,45,46,47,48,49,50,51,52,53,54,55,56,57</v>
      </c>
      <c r="D6" s="3">
        <v>1</v>
      </c>
    </row>
    <row r="7" spans="1:7">
      <c r="A7" s="3" t="s">
        <v>45</v>
      </c>
      <c r="B7" s="3" t="s">
        <v>77</v>
      </c>
      <c r="C7" s="3" t="str">
        <f>_xlfn.TEXTJOIN(",",TRUE,[1]遥调!$A$2:$A$31)</f>
        <v>2000,2001,2002,2003,2004,2005,2006,2007,2008,2009,2010,2011,2012,2013,2014,2015,2016,2017,2018,2019,2021,2020,2022,2023,2024,2025,2026,2027,2028,2029</v>
      </c>
      <c r="D7" s="3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2023-05-24T11:15:00Z</dcterms:created>
  <dcterms:modified xsi:type="dcterms:W3CDTF">2026-07-10T17:53:44Z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2052-12.1.2.26885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