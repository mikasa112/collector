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69" windowHeight="11268" activeTab="2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<sst xmlns="http://schemas.openxmlformats.org/spreadsheetml/2006/main" count="116" uniqueCount="80">
  <si>
    <t>key</t>
  </si>
  <si>
    <t>value</t>
  </si>
  <si>
    <t>备注</t>
  </si>
  <si>
    <t>product_type</t>
  </si>
  <si>
    <t>EMU</t>
  </si>
  <si>
    <t>项目类型</t>
  </si>
  <si>
    <t>project</t>
  </si>
  <si>
    <t>康明斯</t>
  </si>
  <si>
    <t>项目名称：</t>
  </si>
  <si>
    <t>ip</t>
  </si>
  <si>
    <t>127.0.0.1</t>
  </si>
  <si>
    <t>主机IP</t>
  </si>
  <si>
    <t>port</t>
  </si>
  <si>
    <t>主机端口</t>
  </si>
  <si>
    <t>mqtt_host</t>
  </si>
  <si>
    <t>192.168.100.155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</si>
  <si>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</si>
  <si>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</si>
  <si>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</si>
  <si>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</si>
  <si>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</si>
  <si>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</si>
  <si>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</si>
  <si>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</si>
  <si>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</si>
  <si>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</si>
  <si>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/asw/+/+/yt</t>
  </si>
  <si>
    <t>MQTT遥调</t>
  </si>
  <si>
    <t>mqtt_yk</t>
  </si>
  <si>
    <t>/asw/+/+/yk</t>
  </si>
  <si>
    <t>MQTT遥控</t>
  </si>
  <si>
    <t>no</t>
  </si>
  <si>
    <t>id</t>
  </si>
  <si>
    <t>type</t>
  </si>
  <si>
    <t>desc</t>
  </si>
  <si>
    <t>bcu1</t>
  </si>
  <si>
    <t>BCU</t>
  </si>
  <si>
    <t>pcs</t>
  </si>
  <si>
    <t>PCS</t>
  </si>
  <si>
    <t>liquidcool1</t>
  </si>
  <si>
    <t>LiquidCool</t>
  </si>
  <si>
    <t>liquidcool2</t>
  </si>
  <si>
    <t>liquidcool3</t>
  </si>
  <si>
    <t>firefighting</t>
  </si>
  <si>
    <t>Firefighting</t>
  </si>
  <si>
    <t>dehumidifier</t>
  </si>
  <si>
    <t>Dehumidifier</t>
  </si>
  <si>
    <t>comType</t>
  </si>
  <si>
    <t>registerFile</t>
  </si>
  <si>
    <t>interval</t>
  </si>
  <si>
    <t>timeout</t>
  </si>
  <si>
    <t>slave</t>
  </si>
  <si>
    <t>serialTty</t>
  </si>
  <si>
    <t>baudRate</t>
  </si>
  <si>
    <t>dataBits</t>
  </si>
  <si>
    <t>parity</t>
  </si>
  <si>
    <t>stopBits</t>
  </si>
  <si>
    <t>interface</t>
  </si>
  <si>
    <t>CAN</t>
  </si>
  <si>
    <t>./config/BCU_GOLD.xlsx</t>
  </si>
  <si>
    <t>vcan0</t>
  </si>
  <si>
    <t>ModbusTCP</t>
  </si>
  <si>
    <t>./config/PCS_125_英博.xlsx</t>
  </si>
  <si>
    <t>ModbusRTU</t>
  </si>
  <si>
    <t>/dev/ttyXRUSB2</t>
  </si>
  <si>
    <t>N</t>
  </si>
  <si>
    <t>/dev/ttyXRUSB3</t>
  </si>
  <si>
    <t>/dev/ttyXRUSB1</t>
  </si>
  <si>
    <t>/dev/ttyXRUSB4</t>
  </si>
  <si>
    <t>/dev/ttyXRUSB5</t>
  </si>
  <si>
    <t>device_id</t>
  </si>
  <si>
    <t>topic</t>
  </si>
  <si>
    <t>point_ids</t>
  </si>
  <si>
    <t>enable</t>
  </si>
  <si>
    <t>/pcs/0/yx</t>
  </si>
  <si>
    <t>/pcs/0/yc</t>
  </si>
  <si>
    <t>/pcs/0/yt</t>
  </si>
  <si>
    <t>/pcs/0/yk</t>
  </si>
  <si>
    <t>/bcu/0/yc</t>
  </si>
  <si>
    <t>1,2,2001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</si>
</sst>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125_&#33521;&#2133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调"/>
      <sheetName val="遥控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  <row r="115">
          <cell r="A115">
            <v>114</v>
          </cell>
        </row>
        <row r="116">
          <cell r="A116">
            <v>115</v>
          </cell>
        </row>
        <row r="117">
          <cell r="A117">
            <v>116</v>
          </cell>
        </row>
        <row r="118">
          <cell r="A118">
            <v>117</v>
          </cell>
        </row>
        <row r="119">
          <cell r="A119">
            <v>118</v>
          </cell>
        </row>
        <row r="120">
          <cell r="A120">
            <v>119</v>
          </cell>
        </row>
        <row r="121">
          <cell r="A121">
            <v>120</v>
          </cell>
        </row>
        <row r="122">
          <cell r="A122">
            <v>121</v>
          </cell>
        </row>
        <row r="123">
          <cell r="A123">
            <v>122</v>
          </cell>
        </row>
        <row r="124">
          <cell r="A124">
            <v>123</v>
          </cell>
        </row>
        <row r="125">
          <cell r="A125">
            <v>124</v>
          </cell>
        </row>
        <row r="126">
          <cell r="A126">
            <v>125</v>
          </cell>
        </row>
        <row r="127">
          <cell r="A127">
            <v>126</v>
          </cell>
        </row>
        <row r="128">
          <cell r="A128">
            <v>127</v>
          </cell>
        </row>
        <row r="129">
          <cell r="A129">
            <v>128</v>
          </cell>
        </row>
        <row r="130">
          <cell r="A130">
            <v>129</v>
          </cell>
        </row>
        <row r="131">
          <cell r="A131">
            <v>130</v>
          </cell>
        </row>
        <row r="132">
          <cell r="A132">
            <v>131</v>
          </cell>
        </row>
        <row r="133">
          <cell r="A133">
            <v>132</v>
          </cell>
        </row>
        <row r="134">
          <cell r="A134">
            <v>133</v>
          </cell>
        </row>
        <row r="135">
          <cell r="A135">
            <v>134</v>
          </cell>
        </row>
        <row r="136">
          <cell r="A136">
            <v>135</v>
          </cell>
        </row>
        <row r="137">
          <cell r="A137">
            <v>136</v>
          </cell>
        </row>
        <row r="138">
          <cell r="A138">
            <v>137</v>
          </cell>
        </row>
        <row r="139">
          <cell r="A139">
            <v>138</v>
          </cell>
        </row>
        <row r="140">
          <cell r="A140">
            <v>139</v>
          </cell>
        </row>
        <row r="141">
          <cell r="A141">
            <v>140</v>
          </cell>
        </row>
        <row r="142">
          <cell r="A142">
            <v>141</v>
          </cell>
        </row>
        <row r="143">
          <cell r="A143">
            <v>142</v>
          </cell>
        </row>
        <row r="144">
          <cell r="A144">
            <v>143</v>
          </cell>
        </row>
        <row r="145">
          <cell r="A145">
            <v>144</v>
          </cell>
        </row>
        <row r="146">
          <cell r="A146">
            <v>145</v>
          </cell>
        </row>
        <row r="147">
          <cell r="A147">
            <v>146</v>
          </cell>
        </row>
        <row r="148">
          <cell r="A148">
            <v>147</v>
          </cell>
        </row>
        <row r="149">
          <cell r="A149">
            <v>148</v>
          </cell>
        </row>
        <row r="150">
          <cell r="A150">
            <v>149</v>
          </cell>
        </row>
        <row r="151">
          <cell r="A151">
            <v>150</v>
          </cell>
        </row>
        <row r="152">
          <cell r="A152">
            <v>151</v>
          </cell>
        </row>
        <row r="153">
          <cell r="A153">
            <v>152</v>
          </cell>
        </row>
        <row r="154">
          <cell r="A154">
            <v>153</v>
          </cell>
        </row>
        <row r="155">
          <cell r="A155">
            <v>154</v>
          </cell>
        </row>
        <row r="156">
          <cell r="A156">
            <v>155</v>
          </cell>
        </row>
        <row r="157">
          <cell r="A157">
            <v>156</v>
          </cell>
        </row>
        <row r="158">
          <cell r="A158">
            <v>157</v>
          </cell>
        </row>
        <row r="159">
          <cell r="A159">
            <v>158</v>
          </cell>
        </row>
        <row r="160">
          <cell r="A160">
            <v>159</v>
          </cell>
        </row>
        <row r="161">
          <cell r="A161">
            <v>160</v>
          </cell>
        </row>
        <row r="162">
          <cell r="A162">
            <v>161</v>
          </cell>
        </row>
        <row r="163">
          <cell r="A163">
            <v>162</v>
          </cell>
        </row>
        <row r="164">
          <cell r="A164">
            <v>163</v>
          </cell>
        </row>
        <row r="165">
          <cell r="A165">
            <v>164</v>
          </cell>
        </row>
        <row r="166">
          <cell r="A166">
            <v>165</v>
          </cell>
        </row>
        <row r="167">
          <cell r="A167">
            <v>166</v>
          </cell>
        </row>
        <row r="168">
          <cell r="A168">
            <v>167</v>
          </cell>
        </row>
        <row r="169">
          <cell r="A169">
            <v>168</v>
          </cell>
        </row>
        <row r="170">
          <cell r="A170">
            <v>169</v>
          </cell>
        </row>
        <row r="171">
          <cell r="A171">
            <v>170</v>
          </cell>
        </row>
        <row r="172">
          <cell r="A172">
            <v>171</v>
          </cell>
        </row>
        <row r="173">
          <cell r="A173">
            <v>172</v>
          </cell>
        </row>
        <row r="174">
          <cell r="A174">
            <v>173</v>
          </cell>
        </row>
        <row r="175">
          <cell r="A175">
            <v>174</v>
          </cell>
        </row>
        <row r="176">
          <cell r="A176">
            <v>175</v>
          </cell>
        </row>
        <row r="177">
          <cell r="A177">
            <v>176</v>
          </cell>
        </row>
        <row r="178">
          <cell r="A178">
            <v>177</v>
          </cell>
        </row>
        <row r="179">
          <cell r="A179">
            <v>178</v>
          </cell>
        </row>
        <row r="180">
          <cell r="A180">
            <v>179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</sheetData>
      <sheetData sheetId="2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  <row r="32">
          <cell r="A32">
            <v>2030</v>
          </cell>
        </row>
        <row r="33">
          <cell r="A33">
            <v>2031</v>
          </cell>
        </row>
        <row r="34">
          <cell r="A34">
            <v>2032</v>
          </cell>
        </row>
        <row r="35">
          <cell r="A35">
            <v>2033</v>
          </cell>
        </row>
        <row r="36">
          <cell r="A36">
            <v>2034</v>
          </cell>
        </row>
        <row r="37">
          <cell r="A37">
            <v>2035</v>
          </cell>
        </row>
        <row r="38">
          <cell r="A38">
            <v>2036</v>
          </cell>
        </row>
        <row r="39">
          <cell r="A39">
            <v>2037</v>
          </cell>
        </row>
        <row r="40">
          <cell r="A40">
            <v>2038</v>
          </cell>
        </row>
        <row r="41">
          <cell r="A41">
            <v>2039</v>
          </cell>
        </row>
        <row r="42">
          <cell r="A42">
            <v>2040</v>
          </cell>
        </row>
        <row r="43">
          <cell r="A43">
            <v>2041</v>
          </cell>
        </row>
        <row r="44">
          <cell r="A44">
            <v>2042</v>
          </cell>
        </row>
      </sheetData>
      <sheetData sheetId="3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  <row r="6">
          <cell r="A6">
            <v>3004</v>
          </cell>
        </row>
        <row r="7">
          <cell r="A7">
            <v>3005</v>
          </cell>
        </row>
        <row r="8">
          <cell r="A8">
            <v>3006</v>
          </cell>
        </row>
        <row r="9">
          <cell r="A9">
            <v>3007</v>
          </cell>
        </row>
        <row r="10">
          <cell r="A10">
            <v>3008</v>
          </cell>
        </row>
        <row r="11">
          <cell r="A11">
            <v>3009</v>
          </cell>
        </row>
        <row r="12">
          <cell r="A12">
            <v>3010</v>
          </cell>
        </row>
        <row r="13">
          <cell r="A13">
            <v>3011</v>
          </cell>
        </row>
        <row r="14">
          <cell r="A14">
            <v>3012</v>
          </cell>
        </row>
        <row r="15">
          <cell r="A15">
            <v>3013</v>
          </cell>
        </row>
        <row r="16">
          <cell r="A16">
            <v>3014</v>
          </cell>
        </row>
        <row r="17">
          <cell r="A17">
            <v>3015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1"/>
  <sheetViews>
    <sheetView zoomScale="130" zoomScaleNormal="130" workbookViewId="0">
      <pane ySplit="1" topLeftCell="A2" activePane="bottomLeft" state="frozen"/>
      <selection/>
      <selection pane="bottomLeft" activeCell="B4" sqref="B4"/>
    </sheetView>
  </sheetViews>
  <sheetFormatPr defaultColWidth="22.4017094017094" defaultRowHeight="18" outlineLevelCol="2"/>
  <cols>
    <col min="1" max="16384" width="22.4017094017094" style="3"/>
  </cols>
  <sheetData>
    <row r="1" spans="1:3">
      <c r="A1" s="4" t="s">
        <v>0</v>
      </c>
      <c r="B1" s="4" t="s">
        <v>1</v>
      </c>
      <c r="C1" s="4" t="s">
        <v>2</v>
      </c>
    </row>
    <row r="2" spans="1:3">
      <c r="A2" s="3" t="s">
        <v>3</v>
      </c>
      <c r="B2" s="3" t="s">
        <v>4</v>
      </c>
      <c r="C2" s="3" t="s">
        <v>5</v>
      </c>
    </row>
    <row r="3" spans="1:3">
      <c r="A3" s="3" t="s">
        <v>6</v>
      </c>
      <c r="B3" s="3" t="s">
        <v>7</v>
      </c>
      <c r="C3" s="3" t="s">
        <v>8</v>
      </c>
    </row>
    <row r="4" spans="1:3">
      <c r="A4" s="3" t="s">
        <v>9</v>
      </c>
      <c r="B4" s="3" t="s">
        <v>10</v>
      </c>
      <c r="C4" s="3" t="s">
        <v>11</v>
      </c>
    </row>
    <row r="5" spans="1:3">
      <c r="A5" s="3" t="s">
        <v>12</v>
      </c>
      <c r="B5" s="3">
        <v>8083</v>
      </c>
      <c r="C5" s="3" t="s">
        <v>13</v>
      </c>
    </row>
    <row r="6" spans="1:3">
      <c r="A6" s="3" t="s">
        <v>14</v>
      </c>
      <c r="B6" s="3" t="s">
        <v>15</v>
      </c>
      <c r="C6" s="3" t="s">
        <v>16</v>
      </c>
    </row>
    <row r="7" spans="1:3">
      <c r="A7" s="3" t="s">
        <v>17</v>
      </c>
      <c r="B7" s="3">
        <v>1883</v>
      </c>
      <c r="C7" s="3" t="s">
        <v>18</v>
      </c>
    </row>
    <row r="8" spans="1:3">
      <c r="A8" s="3" t="s">
        <v>19</v>
      </c>
      <c r="B8" s="3" t="s">
        <v>20</v>
      </c>
      <c r="C8" s="3" t="s">
        <v>21</v>
      </c>
    </row>
    <row r="9" spans="1:3">
      <c r="A9" s="3" t="s">
        <v>22</v>
      </c>
      <c r="B9" s="3" t="s">
        <v>23</v>
      </c>
      <c r="C9" s="3" t="s">
        <v>24</v>
      </c>
    </row>
    <row r="10" spans="1:3">
      <c r="A10" s="3" t="s">
        <v>25</v>
      </c>
      <c r="B10" s="3" t="s">
        <v>26</v>
      </c>
      <c r="C10" s="3" t="s">
        <v>27</v>
      </c>
    </row>
    <row r="11" spans="1:3">
      <c r="A11" s="3" t="s">
        <v>28</v>
      </c>
      <c r="B11" s="3" t="s">
        <v>29</v>
      </c>
      <c r="C11" s="3" t="s">
        <v>30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8"/>
  <sheetViews>
    <sheetView zoomScale="115" zoomScaleNormal="115" workbookViewId="0">
      <pane ySplit="1" topLeftCell="A2" activePane="bottomLeft" state="frozen"/>
      <selection/>
      <selection pane="bottomLeft" activeCell="E17" sqref="E17"/>
    </sheetView>
  </sheetViews>
  <sheetFormatPr defaultColWidth="9" defaultRowHeight="18" outlineLevelRow="7" outlineLevelCol="4"/>
  <cols>
    <col min="1" max="1" width="6.46153846153846" style="3" customWidth="1"/>
    <col min="2" max="2" width="20.9316239316239" style="3" customWidth="1"/>
    <col min="3" max="3" width="20.3333333333333" style="3" customWidth="1"/>
    <col min="4" max="16384" width="9" style="3"/>
  </cols>
  <sheetData>
    <row r="1" s="4" customFormat="1" spans="1:5">
      <c r="A1" s="4" t="s">
        <v>31</v>
      </c>
      <c r="B1" s="4" t="s">
        <v>32</v>
      </c>
      <c r="C1" s="4" t="s">
        <v>33</v>
      </c>
      <c r="D1" s="4" t="s">
        <v>34</v>
      </c>
      <c r="E1" s="3"/>
    </row>
    <row r="2" spans="1:5">
      <c r="A2" s="3">
        <v>0</v>
      </c>
      <c r="B2" s="3" t="s">
        <v>35</v>
      </c>
      <c r="C2" s="3" t="s">
        <v>36</v>
      </c>
    </row>
    <row r="3" spans="1:5">
      <c r="A3" s="3">
        <v>1</v>
      </c>
      <c r="B3" s="3" t="s">
        <v>37</v>
      </c>
      <c r="C3" s="3" t="s">
        <v>38</v>
      </c>
    </row>
    <row r="4" spans="1:5">
      <c r="A4" s="3">
        <v>2</v>
      </c>
      <c r="B4" s="3" t="s">
        <v>39</v>
      </c>
      <c r="C4" s="3" t="s">
        <v>40</v>
      </c>
    </row>
    <row r="5" spans="1:5">
      <c r="A5" s="3">
        <v>3</v>
      </c>
      <c r="B5" s="3" t="s">
        <v>41</v>
      </c>
      <c r="C5" s="3" t="s">
        <v>40</v>
      </c>
    </row>
    <row r="6" spans="1:5">
      <c r="A6" s="3">
        <v>4</v>
      </c>
      <c r="B6" s="3" t="s">
        <v>42</v>
      </c>
      <c r="C6" s="3" t="s">
        <v>40</v>
      </c>
    </row>
    <row r="7" spans="1:5">
      <c r="A7" s="3">
        <v>5</v>
      </c>
      <c r="B7" s="3" t="s">
        <v>43</v>
      </c>
      <c r="C7" s="3" t="s">
        <v>44</v>
      </c>
    </row>
    <row r="8" spans="1:5">
      <c r="A8" s="3">
        <v>6</v>
      </c>
      <c r="B8" s="3" t="s">
        <v>45</v>
      </c>
      <c r="C8" s="3" t="s">
        <v>46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Q8"/>
  <sheetViews>
    <sheetView tabSelected="1" zoomScale="85" zoomScaleNormal="85" workbookViewId="0">
      <pane ySplit="1" topLeftCell="A2" activePane="bottomLeft" state="frozen"/>
      <selection/>
      <selection pane="bottomLeft" activeCell="E12" sqref="E12"/>
    </sheetView>
  </sheetViews>
  <sheetFormatPr defaultColWidth="9" defaultRowHeight="18" outlineLevelRow="7"/>
  <cols>
    <col min="1" max="1" width="6.46153846153846" style="3" customWidth="1"/>
    <col min="2" max="2" width="15.5982905982906" style="3" customWidth="1"/>
    <col min="3" max="3" width="13.4615384615385" style="3" customWidth="1"/>
    <col min="4" max="4" width="12.9316239316239" style="3" customWidth="1"/>
    <col min="5" max="5" width="44.5299145299145" style="3" customWidth="1"/>
    <col min="6" max="10" width="12.1965811965812" style="3" customWidth="1"/>
    <col min="11" max="11" width="16.6666666666667" style="3" customWidth="1"/>
    <col min="12" max="16" width="12.1965811965812" style="3" customWidth="1"/>
    <col min="17" max="16384" width="9.06837606837607" style="3"/>
  </cols>
  <sheetData>
    <row r="1" s="4" customFormat="1" spans="1:17">
      <c r="A1" s="4" t="s">
        <v>31</v>
      </c>
      <c r="B1" s="4" t="s">
        <v>32</v>
      </c>
      <c r="C1" s="4" t="s">
        <v>33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9</v>
      </c>
      <c r="I1" s="4" t="s">
        <v>12</v>
      </c>
      <c r="J1" s="4" t="s">
        <v>51</v>
      </c>
      <c r="K1" s="5" t="s">
        <v>52</v>
      </c>
      <c r="L1" s="5" t="s">
        <v>53</v>
      </c>
      <c r="M1" s="5" t="s">
        <v>54</v>
      </c>
      <c r="N1" s="5" t="s">
        <v>55</v>
      </c>
      <c r="O1" s="5" t="s">
        <v>56</v>
      </c>
      <c r="P1" s="5" t="s">
        <v>57</v>
      </c>
      <c r="Q1" s="4" t="s">
        <v>34</v>
      </c>
    </row>
    <row r="2" spans="1:17">
      <c r="A2" s="3">
        <f>devices!A2</f>
        <v>0</v>
      </c>
      <c r="B2" s="3" t="s">
        <v>35</v>
      </c>
      <c r="C2" s="3" t="s">
        <v>36</v>
      </c>
      <c r="D2" s="3" t="s">
        <v>58</v>
      </c>
      <c r="E2" s="3" t="s">
        <v>59</v>
      </c>
      <c r="F2" s="3">
        <v>1000</v>
      </c>
      <c r="G2" s="3">
        <v>500</v>
      </c>
      <c r="L2" s="3">
        <v>500000</v>
      </c>
      <c r="P2" s="3" t="s">
        <v>60</v>
      </c>
    </row>
    <row r="3" spans="1:17">
      <c r="A3" s="3">
        <f>devices!A3</f>
        <v>1</v>
      </c>
      <c r="B3" s="3" t="s">
        <v>37</v>
      </c>
      <c r="C3" s="3" t="s">
        <v>38</v>
      </c>
      <c r="D3" s="3" t="s">
        <v>61</v>
      </c>
      <c r="E3" s="3" t="s">
        <v>62</v>
      </c>
      <c r="F3" s="3">
        <v>1000</v>
      </c>
      <c r="G3" s="3">
        <v>500</v>
      </c>
      <c r="H3" s="3" t="s">
        <v>10</v>
      </c>
      <c r="I3" s="3">
        <v>33434</v>
      </c>
      <c r="J3" s="3">
        <v>1</v>
      </c>
    </row>
    <row r="4" spans="1:17">
      <c r="A4" s="3">
        <f>devices!A4</f>
        <v>2</v>
      </c>
      <c r="B4" s="3" t="s">
        <v>39</v>
      </c>
      <c r="C4" s="3" t="s">
        <v>40</v>
      </c>
      <c r="D4" s="3" t="s">
        <v>63</v>
      </c>
      <c r="F4" s="3">
        <v>1000</v>
      </c>
      <c r="G4" s="3">
        <v>500</v>
      </c>
      <c r="J4" s="3">
        <v>1</v>
      </c>
      <c r="K4" s="3" t="s">
        <v>64</v>
      </c>
      <c r="L4" s="3">
        <v>9600</v>
      </c>
      <c r="M4" s="3">
        <v>8</v>
      </c>
      <c r="N4" s="3" t="s">
        <v>65</v>
      </c>
      <c r="O4" s="3">
        <v>1</v>
      </c>
    </row>
    <row r="5" spans="1:17">
      <c r="A5" s="3">
        <f>devices!A5</f>
        <v>3</v>
      </c>
      <c r="B5" s="3" t="s">
        <v>41</v>
      </c>
      <c r="C5" s="3" t="s">
        <v>40</v>
      </c>
      <c r="D5" s="3" t="s">
        <v>63</v>
      </c>
      <c r="F5" s="3">
        <v>1000</v>
      </c>
      <c r="G5" s="3">
        <v>500</v>
      </c>
      <c r="J5" s="3">
        <v>1</v>
      </c>
      <c r="K5" s="3" t="s">
        <v>66</v>
      </c>
      <c r="L5" s="3">
        <v>9600</v>
      </c>
      <c r="M5" s="3">
        <v>8</v>
      </c>
      <c r="N5" s="3" t="s">
        <v>65</v>
      </c>
      <c r="O5" s="3">
        <v>1</v>
      </c>
    </row>
    <row r="6" spans="1:17">
      <c r="A6" s="3">
        <f>devices!A6</f>
        <v>4</v>
      </c>
      <c r="B6" s="3" t="s">
        <v>42</v>
      </c>
      <c r="C6" s="3" t="s">
        <v>40</v>
      </c>
      <c r="D6" s="3" t="s">
        <v>63</v>
      </c>
      <c r="F6" s="3">
        <v>1000</v>
      </c>
      <c r="G6" s="3">
        <v>500</v>
      </c>
      <c r="J6" s="3">
        <v>1</v>
      </c>
      <c r="K6" s="3" t="s">
        <v>67</v>
      </c>
      <c r="L6" s="3">
        <v>9600</v>
      </c>
      <c r="M6" s="3">
        <v>8</v>
      </c>
      <c r="N6" s="3" t="s">
        <v>65</v>
      </c>
      <c r="O6" s="3">
        <v>1</v>
      </c>
    </row>
    <row r="7" spans="1:17">
      <c r="A7" s="3">
        <f>devices!A7</f>
        <v>5</v>
      </c>
      <c r="B7" s="3" t="s">
        <v>43</v>
      </c>
      <c r="C7" s="3" t="s">
        <v>44</v>
      </c>
      <c r="D7" s="3" t="s">
        <v>63</v>
      </c>
      <c r="F7" s="3">
        <v>1000</v>
      </c>
      <c r="G7" s="3">
        <v>500</v>
      </c>
      <c r="J7" s="3">
        <v>1</v>
      </c>
      <c r="K7" s="3" t="s">
        <v>68</v>
      </c>
      <c r="L7" s="3">
        <v>9600</v>
      </c>
      <c r="M7" s="3">
        <v>8</v>
      </c>
      <c r="N7" s="3" t="s">
        <v>65</v>
      </c>
      <c r="O7" s="3">
        <v>1</v>
      </c>
    </row>
    <row r="8" spans="1:17">
      <c r="A8" s="3">
        <f>devices!A8</f>
        <v>6</v>
      </c>
      <c r="B8" s="3" t="s">
        <v>45</v>
      </c>
      <c r="C8" s="3" t="s">
        <v>46</v>
      </c>
      <c r="D8" s="3" t="s">
        <v>63</v>
      </c>
      <c r="F8" s="3">
        <v>1000</v>
      </c>
      <c r="G8" s="3">
        <v>500</v>
      </c>
      <c r="J8" s="3">
        <v>1</v>
      </c>
      <c r="K8" s="3" t="s">
        <v>69</v>
      </c>
      <c r="L8" s="3">
        <v>9600</v>
      </c>
      <c r="M8" s="3">
        <v>8</v>
      </c>
      <c r="N8" s="3" t="s">
        <v>65</v>
      </c>
      <c r="O8" s="3">
        <v>1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zoomScale="115" zoomScaleNormal="115" workbookViewId="0">
      <pane ySplit="1" topLeftCell="A2" activePane="bottomLeft" state="frozen"/>
      <selection/>
      <selection pane="bottomLeft" activeCell="C7" sqref="C7"/>
    </sheetView>
  </sheetViews>
  <sheetFormatPr defaultColWidth="9.11111111111111" defaultRowHeight="18" outlineLevelRow="5" outlineLevelCol="6"/>
  <cols>
    <col min="1" max="1" width="9.11111111111111" style="2"/>
    <col min="2" max="2" width="20.6752136752137" style="2" customWidth="1"/>
    <col min="3" max="3" width="54.5470085470085" style="2" customWidth="1"/>
    <col min="4" max="4" width="20.3931623931624" style="2" customWidth="1"/>
    <col min="5" max="5" width="10.2905982905983" style="2" customWidth="1"/>
    <col min="6" max="6" width="10.4358974358974" style="2" customWidth="1"/>
    <col min="7" max="16384" width="9.11111111111111" style="2"/>
  </cols>
  <sheetData>
    <row r="1" s="1" customFormat="1" spans="1:7">
      <c r="A1" s="1" t="s">
        <v>70</v>
      </c>
      <c r="B1" s="1" t="s">
        <v>71</v>
      </c>
      <c r="C1" s="1" t="s">
        <v>72</v>
      </c>
      <c r="D1" s="1" t="s">
        <v>73</v>
      </c>
      <c r="E1" s="2"/>
      <c r="F1" s="2"/>
      <c r="G1" s="2"/>
    </row>
    <row r="2" spans="1:7">
      <c r="A2" s="2" t="s">
        <v>37</v>
      </c>
      <c r="B2" s="3" t="s">
        <v>74</v>
      </c>
      <c r="C2" s="2" t="str">
        <f>_xlfn.TEXTJOIN(",",TRUE,[1]遥信!$A$2:$A$1000)</f>
        <v>1000,1001,1002,1003,1004,1005,1006,1007,1008,1009,1010,1011,1012,1013,1014,1015</v>
      </c>
      <c r="D2" s="2">
        <v>1</v>
      </c>
    </row>
    <row r="3" spans="1:7">
      <c r="A3" s="2" t="s">
        <v>37</v>
      </c>
      <c r="B3" s="2" t="s">
        <v>75</v>
      </c>
      <c r="C3" s="2" t="str">
        <f>_xlfn.TEXTJOIN(",",TRUE,[1]遥测!$A$2:$A$1000)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,114,115,116,117,118,119,120,121,122,123,124,125,126,127,128,129,130,131,132,133,134,135,136,137,138,139,140,141,142,143,144,145,146,147,148,149,150,151,152,153,154,155,156,157,158,159,160,161,162,163,164,165,166,167,168,169,170,171,172,173,174,175,176,177,178,179</v>
      </c>
      <c r="D3" s="2">
        <v>1</v>
      </c>
    </row>
    <row r="4" spans="1:7">
      <c r="A4" s="2" t="s">
        <v>37</v>
      </c>
      <c r="B4" s="2" t="s">
        <v>76</v>
      </c>
      <c r="C4" s="2" t="str">
        <f>_xlfn.TEXTJOIN(",",TRUE,[1]遥调!$A$2:$A$1000)</f>
        <v>2000,2001,2002,2003,2004,2005,2006,2007,2008,2009,2010,2011,2012,2013,2014,2015,2016,2017,2018,2019,2020,2021,2022,2023,2024,2025,2026,2027,2028,2029,2030,2031,2032,2033,2034,2035,2036,2037,2038,2039,2040,2041,2042</v>
      </c>
      <c r="D4" s="2">
        <v>1</v>
      </c>
    </row>
    <row r="5" spans="1:7">
      <c r="A5" s="2" t="s">
        <v>37</v>
      </c>
      <c r="B5" s="2" t="s">
        <v>77</v>
      </c>
      <c r="C5" s="2" t="str">
        <f>_xlfn.TEXTJOIN(",",TRUE,[1]遥控!$A$2:$A$1000)</f>
        <v>3000,3001,3002,3003,3004,3005,3006,3007,3008,3009,3010,3011,3012,3013,3014,3015</v>
      </c>
      <c r="D5" s="2">
        <v>1</v>
      </c>
    </row>
    <row r="6" spans="1:7">
      <c r="A6" s="2" t="s">
        <v>35</v>
      </c>
      <c r="B6" s="2" t="s">
        <v>78</v>
      </c>
      <c r="C6" s="2" t="s">
        <v>79</v>
      </c>
      <c r="D6" s="2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2023-05-16T19:15:00Z</dcterms:created>
  <dcterms:modified xsi:type="dcterms:W3CDTF">2026-05-08T11:21:14Z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