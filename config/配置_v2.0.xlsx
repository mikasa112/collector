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981" windowHeight="11268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<sst xmlns="http://schemas.openxmlformats.org/spreadsheetml/2006/main" count="116" uniqueCount="80">
  <si>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</si>
  <si>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</si>
  <si>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</si>
  <si>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</si>
  <si>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</si>
  <si>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</si>
  <si>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</si>
  <si>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</si>
  <si>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</si>
  <si>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</si>
  <si>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127.0.0.1</t>
  </si>
  <si>
    <t>主机IP</t>
  </si>
  <si>
    <t>port</t>
  </si>
  <si>
    <t>主机端口</t>
  </si>
  <si>
    <t>mqtt_host</t>
  </si>
  <si>
    <t>192.168.100.155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</si>
  <si>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</si>
  <si>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</si>
  <si>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</si>
  <si>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</si>
  <si>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</si>
  <si>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</si>
  <si>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</si>
  <si>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</si>
  <si>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</si>
  <si>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</si>
  <si>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</si>
  <si>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</si>
  <si>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</si>
  <si>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</si>
  <si>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</si>
  <si>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</si>
  <si>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</si>
  <si>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</si>
  <si>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</si>
  <si>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</si>
  <si>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</si>
  <si>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</si>
  <si>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</si>
  <si>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</si>
  <si>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</si>
  <si>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</si>
  <si>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</si>
  <si>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</si>
  <si>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</si>
  <si>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</si>
  <si>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</si>
  <si>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</si>
  <si>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</si>
  <si>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</si>
  <si>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</si>
  <si>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</si>
  <si>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</si>
  <si>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</si>
  <si>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</si>
  <si>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</si>
  <si>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</si>
  <si>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</si>
  <si>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</si>
  <si>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</si>
  <si>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</si>
  <si>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</si>
  <si>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./config/PCS_450.xlsx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</si>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</sst>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45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</sheetData>
      <sheetData sheetId="1">
        <row r="2">
          <cell r="A2">
            <v>1000</v>
          </cell>
        </row>
      </sheetData>
      <sheetData sheetId="2">
        <row r="2">
          <cell r="A2">
            <v>2000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tabSelected="1" workbookViewId="0">
      <pane ySplit="1" topLeftCell="A2" activePane="bottomLeft" state="frozen"/>
      <selection/>
      <selection pane="bottomLeft" activeCell="B17" sqref="B17"/>
    </sheetView>
  </sheetViews>
  <sheetFormatPr defaultColWidth="22.4017094017094" defaultRowHeight="18" outlineLevelCol="2"/>
  <cols>
    <col min="1" max="16384" width="22.4017094017094" style="4"/>
  </cols>
  <sheetData>
    <row r="1" spans="1:3">
      <c r="A1" s="5" t="s">
        <v>0</v>
      </c>
      <c r="B1" s="5" t="s">
        <v>1</v>
      </c>
      <c r="C1" s="5" t="s">
        <v>2</v>
      </c>
    </row>
    <row r="2" spans="1:3">
      <c r="A2" s="4" t="s">
        <v>3</v>
      </c>
      <c r="B2" s="4" t="s">
        <v>4</v>
      </c>
      <c r="C2" s="4" t="s">
        <v>5</v>
      </c>
    </row>
    <row r="3" spans="1:3">
      <c r="A3" s="4" t="s">
        <v>6</v>
      </c>
      <c r="B3" s="4" t="s">
        <v>7</v>
      </c>
      <c r="C3" s="4" t="s">
        <v>8</v>
      </c>
    </row>
    <row r="4" spans="1:3">
      <c r="A4" s="4" t="s">
        <v>9</v>
      </c>
      <c r="B4" s="4" t="s">
        <v>10</v>
      </c>
      <c r="C4" s="4" t="s">
        <v>11</v>
      </c>
    </row>
    <row r="5" spans="1:3">
      <c r="A5" s="4" t="s">
        <v>12</v>
      </c>
      <c r="B5" s="4">
        <v>8083</v>
      </c>
      <c r="C5" s="4" t="s">
        <v>13</v>
      </c>
    </row>
    <row r="6" spans="1:3">
      <c r="A6" s="4" t="s">
        <v>14</v>
      </c>
      <c r="B6" s="4" t="s">
        <v>15</v>
      </c>
      <c r="C6" s="4" t="s">
        <v>16</v>
      </c>
    </row>
    <row r="7" spans="1:3">
      <c r="A7" s="4" t="s">
        <v>17</v>
      </c>
      <c r="B7" s="4">
        <v>1883</v>
      </c>
      <c r="C7" s="4" t="s">
        <v>18</v>
      </c>
    </row>
    <row r="8" spans="1:3">
      <c r="A8" s="4" t="s">
        <v>19</v>
      </c>
      <c r="B8" s="4" t="s">
        <v>20</v>
      </c>
      <c r="C8" s="4" t="s">
        <v>21</v>
      </c>
    </row>
    <row r="9" spans="1:3">
      <c r="A9" s="4" t="s">
        <v>22</v>
      </c>
      <c r="B9" s="4" t="s">
        <v>23</v>
      </c>
      <c r="C9" s="4" t="s">
        <v>24</v>
      </c>
    </row>
    <row r="10" spans="1:3">
      <c r="A10" s="4" t="s">
        <v>25</v>
      </c>
      <c r="B10" s="4" t="s">
        <v>26</v>
      </c>
      <c r="C10" s="4" t="s">
        <v>27</v>
      </c>
    </row>
    <row r="11" spans="1:3">
      <c r="A11" s="4" t="s">
        <v>28</v>
      </c>
      <c r="B11" s="4" t="s">
        <v>29</v>
      </c>
      <c r="C11" s="4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H15" sqref="H15"/>
    </sheetView>
  </sheetViews>
  <sheetFormatPr defaultColWidth="9" defaultRowHeight="18" outlineLevelRow="7" outlineLevelCol="4"/>
  <cols>
    <col min="1" max="1" width="6.46153846153846" style="4" customWidth="1"/>
    <col min="2" max="2" width="20.9316239316239" style="4" customWidth="1"/>
    <col min="3" max="3" width="20.3333333333333" style="4" customWidth="1"/>
    <col min="4" max="16384" width="9" style="4"/>
  </cols>
  <sheetData>
    <row r="1" s="5" customFormat="1" spans="1:5">
      <c r="A1" s="5" t="s">
        <v>31</v>
      </c>
      <c r="B1" s="5" t="s">
        <v>32</v>
      </c>
      <c r="C1" s="5" t="s">
        <v>33</v>
      </c>
      <c r="D1" s="5" t="s">
        <v>34</v>
      </c>
      <c r="E1" s="4"/>
    </row>
    <row r="2" spans="1:5">
      <c r="A2" s="4">
        <v>0</v>
      </c>
      <c r="B2" s="4" t="s">
        <v>35</v>
      </c>
      <c r="C2" s="4" t="s">
        <v>36</v>
      </c>
    </row>
    <row r="3" spans="1:5">
      <c r="A3" s="4">
        <v>1</v>
      </c>
      <c r="B3" s="4" t="s">
        <v>37</v>
      </c>
      <c r="C3" s="4" t="s">
        <v>38</v>
      </c>
    </row>
    <row r="4" spans="1:5">
      <c r="A4" s="4">
        <v>2</v>
      </c>
      <c r="B4" s="4" t="s">
        <v>39</v>
      </c>
      <c r="C4" s="4" t="s">
        <v>40</v>
      </c>
    </row>
    <row r="5" spans="1:5">
      <c r="A5" s="4">
        <v>3</v>
      </c>
      <c r="B5" s="4" t="s">
        <v>41</v>
      </c>
      <c r="C5" s="4" t="s">
        <v>40</v>
      </c>
    </row>
    <row r="6" spans="1:5">
      <c r="A6" s="4">
        <v>4</v>
      </c>
      <c r="B6" s="4" t="s">
        <v>42</v>
      </c>
      <c r="C6" s="4" t="s">
        <v>40</v>
      </c>
    </row>
    <row r="7" spans="1:5">
      <c r="A7" s="4">
        <v>5</v>
      </c>
      <c r="B7" s="4" t="s">
        <v>43</v>
      </c>
      <c r="C7" s="4" t="s">
        <v>44</v>
      </c>
    </row>
    <row r="8" spans="1:5">
      <c r="A8" s="4">
        <v>6</v>
      </c>
      <c r="B8" s="4" t="s">
        <v>45</v>
      </c>
      <c r="C8" s="4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workbookViewId="0">
      <pane ySplit="1" topLeftCell="A2" activePane="bottomLeft" state="frozen"/>
      <selection/>
      <selection pane="bottomLeft" activeCell="E11" sqref="E11"/>
    </sheetView>
  </sheetViews>
  <sheetFormatPr defaultColWidth="9" defaultRowHeight="18" outlineLevelRow="7"/>
  <cols>
    <col min="1" max="1" width="6.46153846153846" style="4" customWidth="1"/>
    <col min="2" max="2" width="15.5982905982906" style="4" customWidth="1"/>
    <col min="3" max="3" width="13.4615384615385" style="4" customWidth="1"/>
    <col min="4" max="4" width="12.9316239316239" style="4" customWidth="1"/>
    <col min="5" max="5" width="23.7692307692308" style="4" customWidth="1"/>
    <col min="6" max="10" width="12.1965811965812" style="4" customWidth="1"/>
    <col min="11" max="11" width="16.6666666666667" style="4" customWidth="1"/>
    <col min="12" max="16" width="12.1965811965812" style="4" customWidth="1"/>
    <col min="17" max="16384" width="9.06837606837607" style="4"/>
  </cols>
  <sheetData>
    <row r="1" s="5" customFormat="1" spans="1:17">
      <c r="A1" s="5" t="s">
        <v>31</v>
      </c>
      <c r="B1" s="5" t="s">
        <v>32</v>
      </c>
      <c r="C1" s="5" t="s">
        <v>33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9</v>
      </c>
      <c r="I1" s="5" t="s">
        <v>12</v>
      </c>
      <c r="J1" s="5" t="s">
        <v>51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5" t="s">
        <v>34</v>
      </c>
    </row>
    <row r="2" spans="1:17">
      <c r="A2" s="4">
        <f>devices!A2</f>
        <v>0</v>
      </c>
      <c r="B2" s="4" t="s">
        <v>35</v>
      </c>
      <c r="C2" s="4" t="s">
        <v>36</v>
      </c>
      <c r="D2" s="4" t="s">
        <v>58</v>
      </c>
      <c r="E2" s="4" t="s">
        <v>59</v>
      </c>
      <c r="F2" s="4">
        <v>1000</v>
      </c>
      <c r="G2" s="4">
        <v>500</v>
      </c>
      <c r="L2" s="4">
        <v>500000</v>
      </c>
      <c r="P2" s="4" t="s">
        <v>60</v>
      </c>
    </row>
    <row r="3" spans="1:17">
      <c r="A3" s="4">
        <f>devices!A3</f>
        <v>1</v>
      </c>
      <c r="B3" s="4" t="s">
        <v>37</v>
      </c>
      <c r="C3" s="4" t="s">
        <v>38</v>
      </c>
      <c r="D3" s="4" t="s">
        <v>61</v>
      </c>
      <c r="E3" s="4" t="s">
        <v>62</v>
      </c>
      <c r="F3" s="4">
        <v>1000</v>
      </c>
      <c r="G3" s="4">
        <v>500</v>
      </c>
      <c r="H3" s="4" t="s">
        <v>10</v>
      </c>
      <c r="I3" s="4">
        <v>33434</v>
      </c>
      <c r="J3" s="4">
        <v>1</v>
      </c>
    </row>
    <row r="4" spans="1:17">
      <c r="A4" s="4">
        <f>devices!A4</f>
        <v>2</v>
      </c>
      <c r="B4" s="4" t="s">
        <v>39</v>
      </c>
      <c r="C4" s="4" t="s">
        <v>40</v>
      </c>
      <c r="D4" s="4" t="s">
        <v>63</v>
      </c>
      <c r="F4" s="4">
        <v>1000</v>
      </c>
      <c r="G4" s="4">
        <v>500</v>
      </c>
      <c r="J4" s="4">
        <v>1</v>
      </c>
      <c r="K4" s="4" t="s">
        <v>64</v>
      </c>
      <c r="L4" s="4">
        <v>9600</v>
      </c>
      <c r="M4" s="4">
        <v>8</v>
      </c>
      <c r="N4" s="4" t="s">
        <v>65</v>
      </c>
      <c r="O4" s="4">
        <v>1</v>
      </c>
    </row>
    <row r="5" spans="1:17">
      <c r="A5" s="4">
        <f>devices!A5</f>
        <v>3</v>
      </c>
      <c r="B5" s="4" t="s">
        <v>41</v>
      </c>
      <c r="C5" s="4" t="s">
        <v>40</v>
      </c>
      <c r="D5" s="4" t="s">
        <v>63</v>
      </c>
      <c r="F5" s="4">
        <v>1000</v>
      </c>
      <c r="G5" s="4">
        <v>500</v>
      </c>
      <c r="J5" s="4">
        <v>1</v>
      </c>
      <c r="K5" s="4" t="s">
        <v>66</v>
      </c>
      <c r="L5" s="4">
        <v>9600</v>
      </c>
      <c r="M5" s="4">
        <v>8</v>
      </c>
      <c r="N5" s="4" t="s">
        <v>65</v>
      </c>
      <c r="O5" s="4">
        <v>1</v>
      </c>
    </row>
    <row r="6" spans="1:17">
      <c r="A6" s="4">
        <f>devices!A6</f>
        <v>4</v>
      </c>
      <c r="B6" s="4" t="s">
        <v>42</v>
      </c>
      <c r="C6" s="4" t="s">
        <v>40</v>
      </c>
      <c r="D6" s="4" t="s">
        <v>63</v>
      </c>
      <c r="F6" s="4">
        <v>1000</v>
      </c>
      <c r="G6" s="4">
        <v>500</v>
      </c>
      <c r="J6" s="4">
        <v>1</v>
      </c>
      <c r="K6" s="4" t="s">
        <v>67</v>
      </c>
      <c r="L6" s="4">
        <v>9600</v>
      </c>
      <c r="M6" s="4">
        <v>8</v>
      </c>
      <c r="N6" s="4" t="s">
        <v>65</v>
      </c>
      <c r="O6" s="4">
        <v>1</v>
      </c>
    </row>
    <row r="7" spans="1:17">
      <c r="A7" s="4">
        <f>devices!A7</f>
        <v>5</v>
      </c>
      <c r="B7" s="4" t="s">
        <v>43</v>
      </c>
      <c r="C7" s="4" t="s">
        <v>44</v>
      </c>
      <c r="D7" s="4" t="s">
        <v>63</v>
      </c>
      <c r="F7" s="4">
        <v>1000</v>
      </c>
      <c r="G7" s="4">
        <v>500</v>
      </c>
      <c r="J7" s="4">
        <v>1</v>
      </c>
      <c r="K7" s="4" t="s">
        <v>68</v>
      </c>
      <c r="L7" s="4">
        <v>9600</v>
      </c>
      <c r="M7" s="4">
        <v>8</v>
      </c>
      <c r="N7" s="4" t="s">
        <v>65</v>
      </c>
      <c r="O7" s="4">
        <v>1</v>
      </c>
    </row>
    <row r="8" spans="1:17">
      <c r="A8" s="4">
        <f>devices!A8</f>
        <v>6</v>
      </c>
      <c r="B8" s="4" t="s">
        <v>45</v>
      </c>
      <c r="C8" s="4" t="s">
        <v>46</v>
      </c>
      <c r="D8" s="4" t="s">
        <v>63</v>
      </c>
      <c r="F8" s="4">
        <v>1000</v>
      </c>
      <c r="G8" s="4">
        <v>500</v>
      </c>
      <c r="J8" s="4">
        <v>1</v>
      </c>
      <c r="K8" s="4" t="s">
        <v>69</v>
      </c>
      <c r="L8" s="4">
        <v>9600</v>
      </c>
      <c r="M8" s="4">
        <v>8</v>
      </c>
      <c r="N8" s="4" t="s">
        <v>65</v>
      </c>
      <c r="O8" s="4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pane ySplit="1" topLeftCell="A2" activePane="bottomLeft" state="frozen"/>
      <selection/>
      <selection pane="bottomLeft" activeCell="B30" sqref="B30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18.452991452991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3" t="s">
        <v>70</v>
      </c>
      <c r="B1" s="3" t="s">
        <v>71</v>
      </c>
      <c r="C1" s="1" t="s">
        <v>72</v>
      </c>
      <c r="D1" s="1" t="s">
        <v>73</v>
      </c>
      <c r="E1" s="2"/>
      <c r="F1" s="2"/>
      <c r="G1" s="2"/>
    </row>
    <row r="2" spans="1:7">
      <c r="A2" s="2" t="s">
        <v>37</v>
      </c>
      <c r="B2" s="4" t="s">
        <v>74</v>
      </c>
      <c r="C2" s="2" t="str">
        <f>_xlfn.TEXTJOIN(",",TRUE,[1]遥信!$A$2:$A$100)</f>
        <v>1000</v>
      </c>
      <c r="D2" s="2">
        <v>1</v>
      </c>
    </row>
    <row r="3" spans="1:7">
      <c r="A3" s="2" t="s">
        <v>37</v>
      </c>
      <c r="B3" s="2" t="s">
        <v>75</v>
      </c>
      <c r="C3" s="2" t="str">
        <f>_xlfn.TEXTJOIN(",",TRUE,[1]遥测!$A$2:$A$100)</f>
        <v>1,2,3</v>
      </c>
      <c r="D3" s="2">
        <v>1</v>
      </c>
    </row>
    <row r="4" spans="1:7">
      <c r="A4" s="2" t="s">
        <v>37</v>
      </c>
      <c r="B4" s="2" t="s">
        <v>76</v>
      </c>
      <c r="C4" s="2" t="str">
        <f>_xlfn.TEXTJOIN(",",TRUE,[1]遥调!$A$2:$A$100)</f>
        <v>2000</v>
      </c>
      <c r="D4" s="2">
        <v>1</v>
      </c>
    </row>
    <row r="5" spans="1:7">
      <c r="A5" s="2" t="s">
        <v>37</v>
      </c>
      <c r="B5" s="2" t="s">
        <v>77</v>
      </c>
      <c r="C5" s="2" t="str">
        <f>_xlfn.TEXTJOIN(",",TRUE,[1]遥控!$A$2:$A$100)</f>
        <v>3000,3001</v>
      </c>
      <c r="D5" s="2">
        <v>1</v>
      </c>
    </row>
    <row r="6" spans="1:7">
      <c r="A6" s="2" t="s">
        <v>35</v>
      </c>
      <c r="B6" s="2" t="s">
        <v>78</v>
      </c>
      <c r="C6" s="2" t="s">
        <v>79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2023-05-13T11:15:00Z</dcterms:created>
  <dcterms:modified xsi:type="dcterms:W3CDTF">2026-03-18T16:31:10Z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2052-12.1.2.24722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