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1268" activeTab="3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<sst xmlns="http://schemas.openxmlformats.org/spreadsheetml/2006/main" count="116" uniqueCount="80">
  <si>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</si>
  <si>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</si>
  <si>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</si>
  <si>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</si>
  <si>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</si>
  <si>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</si>
  <si>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</si>
  <si>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</si>
  <si>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</si>
  <si>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</si>
  <si>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127.0.0.1</t>
  </si>
  <si>
    <t>主机IP</t>
  </si>
  <si>
    <t>port</t>
  </si>
  <si>
    <t>主机端口</t>
  </si>
  <si>
    <t>mqtt_host</t>
  </si>
  <si>
    <t>118.193.44.31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</si>
  <si>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</si>
  <si>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</si>
  <si>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</si>
  <si>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</si>
  <si>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</si>
  <si>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</si>
  <si>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</si>
  <si>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</si>
  <si>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</si>
  <si>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</si>
  <si>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</si>
  <si>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</si>
  <si>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</si>
  <si>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</si>
  <si>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</si>
  <si>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</si>
  <si>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</si>
  <si>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</si>
  <si>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</si>
  <si>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</si>
  <si>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</si>
  <si>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</si>
  <si>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</si>
  <si>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</si>
  <si>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</si>
  <si>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</si>
  <si>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</si>
  <si>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</si>
  <si>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</si>
  <si>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</si>
  <si>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</si>
  <si>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</si>
  <si>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</si>
  <si>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</si>
  <si>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</si>
  <si>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</si>
  <si>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</si>
  <si>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</si>
  <si>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</si>
  <si>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</si>
  <si>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</si>
  <si>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</si>
  <si>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</si>
  <si>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</si>
  <si>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</si>
  <si>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</si>
  <si>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./config/PCS_450.xlsx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</si>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</sst>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45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</sheetData>
      <sheetData sheetId="1">
        <row r="2">
          <cell r="A2">
            <v>1000</v>
          </cell>
        </row>
      </sheetData>
      <sheetData sheetId="2">
        <row r="2">
          <cell r="A2">
            <v>2000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zoomScale="130" zoomScaleNormal="130" workbookViewId="0">
      <pane ySplit="1" topLeftCell="A2" activePane="bottomLeft" state="frozen"/>
      <selection/>
      <selection pane="bottomLeft" activeCell="D12" sqref="D12"/>
    </sheetView>
  </sheetViews>
  <sheetFormatPr defaultColWidth="22.4017094017094" defaultRowHeight="18" outlineLevelCol="2"/>
  <cols>
    <col min="1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8083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10031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15" zoomScaleNormal="11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31</v>
      </c>
      <c r="B1" s="4" t="s">
        <v>32</v>
      </c>
      <c r="C1" s="4" t="s">
        <v>33</v>
      </c>
      <c r="D1" s="4" t="s">
        <v>34</v>
      </c>
      <c r="E1" s="3"/>
    </row>
    <row r="2" spans="1:5">
      <c r="A2" s="3">
        <v>0</v>
      </c>
      <c r="B2" s="3" t="s">
        <v>35</v>
      </c>
      <c r="C2" s="3" t="s">
        <v>36</v>
      </c>
    </row>
    <row r="3" spans="1:5">
      <c r="A3" s="3">
        <v>1</v>
      </c>
      <c r="B3" s="3" t="s">
        <v>37</v>
      </c>
      <c r="C3" s="3" t="s">
        <v>38</v>
      </c>
    </row>
    <row r="4" spans="1:5">
      <c r="A4" s="3">
        <v>2</v>
      </c>
      <c r="B4" s="3" t="s">
        <v>39</v>
      </c>
      <c r="C4" s="3" t="s">
        <v>40</v>
      </c>
    </row>
    <row r="5" spans="1:5">
      <c r="A5" s="3">
        <v>3</v>
      </c>
      <c r="B5" s="3" t="s">
        <v>41</v>
      </c>
      <c r="C5" s="3" t="s">
        <v>40</v>
      </c>
    </row>
    <row r="6" spans="1:5">
      <c r="A6" s="3">
        <v>4</v>
      </c>
      <c r="B6" s="3" t="s">
        <v>42</v>
      </c>
      <c r="C6" s="3" t="s">
        <v>40</v>
      </c>
    </row>
    <row r="7" spans="1:5">
      <c r="A7" s="3">
        <v>5</v>
      </c>
      <c r="B7" s="3" t="s">
        <v>43</v>
      </c>
      <c r="C7" s="3" t="s">
        <v>44</v>
      </c>
    </row>
    <row r="8" spans="1:5">
      <c r="A8" s="3">
        <v>6</v>
      </c>
      <c r="B8" s="3" t="s">
        <v>45</v>
      </c>
      <c r="C8" s="3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115" zoomScaleNormal="115" workbookViewId="0">
      <pane ySplit="1" topLeftCell="A2" activePane="bottomLeft" state="frozen"/>
      <selection/>
      <selection pane="bottomLeft" activeCell="E13" sqref="E13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23.7692307692308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31</v>
      </c>
      <c r="B1" s="4" t="s">
        <v>32</v>
      </c>
      <c r="C1" s="4" t="s">
        <v>33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9</v>
      </c>
      <c r="I1" s="4" t="s">
        <v>12</v>
      </c>
      <c r="J1" s="4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4" t="s">
        <v>34</v>
      </c>
    </row>
    <row r="2" spans="1:17">
      <c r="A2" s="3">
        <f>devices!A2</f>
        <v>0</v>
      </c>
      <c r="B2" s="3" t="s">
        <v>35</v>
      </c>
      <c r="C2" s="3" t="s">
        <v>36</v>
      </c>
      <c r="D2" s="3" t="s">
        <v>58</v>
      </c>
      <c r="E2" s="3" t="s">
        <v>59</v>
      </c>
      <c r="F2" s="3">
        <v>1000</v>
      </c>
      <c r="G2" s="3">
        <v>500</v>
      </c>
      <c r="L2" s="3">
        <v>500000</v>
      </c>
      <c r="P2" s="3" t="s">
        <v>60</v>
      </c>
    </row>
    <row r="3" spans="1:17">
      <c r="A3" s="3">
        <f>devices!A3</f>
        <v>1</v>
      </c>
      <c r="B3" s="3" t="s">
        <v>37</v>
      </c>
      <c r="C3" s="3" t="s">
        <v>38</v>
      </c>
      <c r="D3" s="3" t="s">
        <v>61</v>
      </c>
      <c r="E3" s="3" t="s">
        <v>62</v>
      </c>
      <c r="F3" s="3">
        <v>1000</v>
      </c>
      <c r="G3" s="3">
        <v>500</v>
      </c>
      <c r="H3" s="3" t="s">
        <v>10</v>
      </c>
      <c r="I3" s="3">
        <v>33434</v>
      </c>
      <c r="J3" s="3">
        <v>1</v>
      </c>
    </row>
    <row r="4" spans="1:17">
      <c r="A4" s="3">
        <f>devices!A4</f>
        <v>2</v>
      </c>
      <c r="B4" s="3" t="s">
        <v>39</v>
      </c>
      <c r="C4" s="3" t="s">
        <v>40</v>
      </c>
      <c r="D4" s="3" t="s">
        <v>63</v>
      </c>
      <c r="F4" s="3">
        <v>1000</v>
      </c>
      <c r="G4" s="3">
        <v>500</v>
      </c>
      <c r="J4" s="3">
        <v>1</v>
      </c>
      <c r="K4" s="3" t="s">
        <v>64</v>
      </c>
      <c r="L4" s="3">
        <v>9600</v>
      </c>
      <c r="M4" s="3">
        <v>8</v>
      </c>
      <c r="N4" s="3" t="s">
        <v>65</v>
      </c>
      <c r="O4" s="3">
        <v>1</v>
      </c>
    </row>
    <row r="5" spans="1:17">
      <c r="A5" s="3">
        <f>devices!A5</f>
        <v>3</v>
      </c>
      <c r="B5" s="3" t="s">
        <v>41</v>
      </c>
      <c r="C5" s="3" t="s">
        <v>40</v>
      </c>
      <c r="D5" s="3" t="s">
        <v>63</v>
      </c>
      <c r="F5" s="3">
        <v>1000</v>
      </c>
      <c r="G5" s="3">
        <v>500</v>
      </c>
      <c r="J5" s="3">
        <v>1</v>
      </c>
      <c r="K5" s="3" t="s">
        <v>66</v>
      </c>
      <c r="L5" s="3">
        <v>9600</v>
      </c>
      <c r="M5" s="3">
        <v>8</v>
      </c>
      <c r="N5" s="3" t="s">
        <v>65</v>
      </c>
      <c r="O5" s="3">
        <v>1</v>
      </c>
    </row>
    <row r="6" spans="1:17">
      <c r="A6" s="3">
        <f>devices!A6</f>
        <v>4</v>
      </c>
      <c r="B6" s="3" t="s">
        <v>42</v>
      </c>
      <c r="C6" s="3" t="s">
        <v>40</v>
      </c>
      <c r="D6" s="3" t="s">
        <v>63</v>
      </c>
      <c r="F6" s="3">
        <v>1000</v>
      </c>
      <c r="G6" s="3">
        <v>500</v>
      </c>
      <c r="J6" s="3">
        <v>1</v>
      </c>
      <c r="K6" s="3" t="s">
        <v>67</v>
      </c>
      <c r="L6" s="3">
        <v>9600</v>
      </c>
      <c r="M6" s="3">
        <v>8</v>
      </c>
      <c r="N6" s="3" t="s">
        <v>65</v>
      </c>
      <c r="O6" s="3">
        <v>1</v>
      </c>
    </row>
    <row r="7" spans="1:17">
      <c r="A7" s="3">
        <f>devices!A7</f>
        <v>5</v>
      </c>
      <c r="B7" s="3" t="s">
        <v>43</v>
      </c>
      <c r="C7" s="3" t="s">
        <v>44</v>
      </c>
      <c r="D7" s="3" t="s">
        <v>63</v>
      </c>
      <c r="F7" s="3">
        <v>1000</v>
      </c>
      <c r="G7" s="3">
        <v>500</v>
      </c>
      <c r="J7" s="3">
        <v>1</v>
      </c>
      <c r="K7" s="3" t="s">
        <v>68</v>
      </c>
      <c r="L7" s="3">
        <v>9600</v>
      </c>
      <c r="M7" s="3">
        <v>8</v>
      </c>
      <c r="N7" s="3" t="s">
        <v>65</v>
      </c>
      <c r="O7" s="3">
        <v>1</v>
      </c>
    </row>
    <row r="8" spans="1:17">
      <c r="A8" s="3">
        <f>devices!A8</f>
        <v>6</v>
      </c>
      <c r="B8" s="3" t="s">
        <v>45</v>
      </c>
      <c r="C8" s="3" t="s">
        <v>46</v>
      </c>
      <c r="D8" s="3" t="s">
        <v>63</v>
      </c>
      <c r="F8" s="3">
        <v>1000</v>
      </c>
      <c r="G8" s="3">
        <v>500</v>
      </c>
      <c r="J8" s="3">
        <v>1</v>
      </c>
      <c r="K8" s="3" t="s">
        <v>69</v>
      </c>
      <c r="L8" s="3">
        <v>9600</v>
      </c>
      <c r="M8" s="3">
        <v>8</v>
      </c>
      <c r="N8" s="3" t="s">
        <v>65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tabSelected="1" zoomScale="175" zoomScaleNormal="175" workbookViewId="0">
      <pane ySplit="1" topLeftCell="A2" activePane="bottomLeft" state="frozen"/>
      <selection/>
      <selection pane="bottomLeft" activeCell="C11" sqref="C11"/>
    </sheetView>
  </sheetViews>
  <sheetFormatPr defaultColWidth="9.11111111111111" defaultRowHeight="18" outlineLevelRow="5" outlineLevelCol="6"/>
  <cols>
    <col min="1" max="1" width="9.11111111111111" style="2"/>
    <col min="2" max="2" width="20.6752136752137" style="2" customWidth="1"/>
    <col min="3" max="3" width="18.4529914529915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70</v>
      </c>
      <c r="B1" s="1" t="s">
        <v>71</v>
      </c>
      <c r="C1" s="1" t="s">
        <v>72</v>
      </c>
      <c r="D1" s="1" t="s">
        <v>73</v>
      </c>
      <c r="E1" s="2"/>
      <c r="F1" s="2"/>
      <c r="G1" s="2"/>
    </row>
    <row r="2" spans="1:7">
      <c r="A2" s="2" t="s">
        <v>37</v>
      </c>
      <c r="B2" s="3" t="s">
        <v>74</v>
      </c>
      <c r="C2" s="2" t="str">
        <f>_xlfn.TEXTJOIN(",",TRUE,[1]遥信!$A$2:$A$100)</f>
        <v>1000</v>
      </c>
      <c r="D2" s="2">
        <v>1</v>
      </c>
    </row>
    <row r="3" spans="1:7">
      <c r="A3" s="2" t="s">
        <v>37</v>
      </c>
      <c r="B3" s="2" t="s">
        <v>75</v>
      </c>
      <c r="C3" s="2" t="str">
        <f>_xlfn.TEXTJOIN(",",TRUE,[1]遥测!$A$2:$A$100)</f>
        <v>1,2,3</v>
      </c>
      <c r="D3" s="2">
        <v>1</v>
      </c>
    </row>
    <row r="4" spans="1:7">
      <c r="A4" s="2" t="s">
        <v>37</v>
      </c>
      <c r="B4" s="2" t="s">
        <v>76</v>
      </c>
      <c r="C4" s="2" t="str">
        <f>_xlfn.TEXTJOIN(",",TRUE,[1]遥调!$A$2:$A$100)</f>
        <v>2000</v>
      </c>
      <c r="D4" s="2">
        <v>1</v>
      </c>
    </row>
    <row r="5" spans="1:7">
      <c r="A5" s="2" t="s">
        <v>37</v>
      </c>
      <c r="B5" s="2" t="s">
        <v>77</v>
      </c>
      <c r="C5" s="2" t="str">
        <f>_xlfn.TEXTJOIN(",",TRUE,[1]遥控!$A$2:$A$100)</f>
        <v>3000,3001</v>
      </c>
      <c r="D5" s="2">
        <v>1</v>
      </c>
    </row>
    <row r="6" spans="1:7">
      <c r="A6" s="2" t="s">
        <v>35</v>
      </c>
      <c r="B6" s="2" t="s">
        <v>78</v>
      </c>
      <c r="C6" s="2" t="s">
        <v>79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2023-05-14T11:15:00Z</dcterms:created>
  <dcterms:modified xsi:type="dcterms:W3CDTF">2026-03-30T15:08:19Z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2052-12.1.2.25838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