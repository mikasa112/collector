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4061" windowHeight="11218" activeTab="2"/>
  </bookViews>
  <sheets>
    <sheet name="project" sheetId="1" r:id="rId1"/>
    <sheet name="devices" sheetId="2" r:id="rId2"/>
    <sheet name="config" sheetId="4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<sst xmlns="http://schemas.openxmlformats.org/spreadsheetml/2006/main" count="93" uniqueCount="62">
  <si>
    <t>key</t>
  </si>
  <si>
    <t>value</t>
  </si>
  <si>
    <t>备注</t>
  </si>
  <si>
    <t>product_type</t>
  </si>
  <si>
    <t>EMU</t>
  </si>
  <si>
    <t>项目类型</t>
  </si>
  <si>
    <t>project</t>
  </si>
  <si>
    <t>康明斯</t>
  </si>
  <si>
    <t>项目名称：</t>
  </si>
  <si>
    <t>ip</t>
  </si>
  <si>
    <t>127.0.0.1</t>
  </si>
  <si>
    <t>主机IP</t>
  </si>
  <si>
    <t>port</t>
  </si>
  <si>
    <t>主机端口</t>
  </si>
  <si>
    <t>mqtt_host</t>
  </si>
  <si>
    <t>8.153.70.217</t>
  </si>
  <si>
    <t>MQTT服务器地址</t>
  </si>
  <si>
    <t>mqtt_port</t>
  </si>
  <si>
    <t>MQTT服务器端口</t>
  </si>
  <si>
    <t>mqtt_username</t>
  </si>
  <si>
    <t>root</t>
  </si>
  <si>
    <t>MQTT用户名</t>
  </si>
  <si>
    <t>mqtt_password</t>
  </si>
  <si>
    <t>Jjj156428!</t>
  </si>
  <si>
    <t>MQTT密码</t>
  </si>
  <si>
    <t>no</t>
  </si>
  <si>
    <t>id</t>
  </si>
  <si>
    <t>type</t>
  </si>
  <si>
    <t>desc</t>
  </si>
  <si>
    <t>bcu1</t>
  </si>
  <si>
    <t>BCU</t>
  </si>
  <si>
    <t>pcs</t>
  </si>
  <si>
    <t>PCS</t>
  </si>
  <si>
    <t>liquidcool1</t>
  </si>
  <si>
    <t>LiquidCool</t>
  </si>
  <si>
    <t>liquidcool2</t>
  </si>
  <si>
    <t>liquidcool3</t>
  </si>
  <si>
    <t>firefighting</t>
  </si>
  <si>
    <t>Firefighting</t>
  </si>
  <si>
    <t>dehumidifier</t>
  </si>
  <si>
    <t>Dehumidifier</t>
  </si>
  <si>
    <t>comType</t>
  </si>
  <si>
    <t>registerFile</t>
  </si>
  <si>
    <t>interval</t>
  </si>
  <si>
    <t>timeout</t>
  </si>
  <si>
    <t>slave</t>
  </si>
  <si>
    <t>serialTty</t>
  </si>
  <si>
    <t>baudRate</t>
  </si>
  <si>
    <t>dataBits</t>
  </si>
  <si>
    <t>parity</t>
  </si>
  <si>
    <t>stopBits</t>
  </si>
  <si>
    <t>interface</t>
  </si>
  <si>
    <t>CAN</t>
  </si>
  <si>
    <t>vcan0</t>
  </si>
  <si>
    <t>ModbusTCP</t>
  </si>
  <si>
    <t>ModbusRTU</t>
  </si>
  <si>
    <t>/dev/ttyXRUSB2</t>
  </si>
  <si>
    <t>N</t>
  </si>
  <si>
    <t>/dev/ttyXRUSB3</t>
  </si>
  <si>
    <t>/dev/ttyXRUSB1</t>
  </si>
  <si>
    <t>/dev/ttyXRUSB4</t>
  </si>
  <si>
    <t>/dev/ttyXRUSB5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</si>
</sst>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2">
    <font>
      <sz val="11"/>
      <color theme="1"/>
      <name val="宋体"/>
      <charset val="134"/>
      <scheme val="minor"/>
    </font>
    <font>
      <b/>
      <sz val="11"/>
      <color theme="1"/>
      <name val="微软雅黑"/>
      <charset val="134"/>
    </font>
    <font>
      <sz val="11"/>
      <color theme="1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0" fillId="2" borderId="2" applyNumberFormat="0" applyFont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3" borderId="5" applyNumberFormat="0" applyAlignment="0" applyProtection="0">
      <alignment vertical="center"/>
    </xf>
    <xf numFmtId="0" fontId="12" fillId="4" borderId="6" applyNumberFormat="0" applyAlignment="0" applyProtection="0">
      <alignment vertical="center"/>
    </xf>
    <xf numFmtId="0" fontId="13" fillId="4" borderId="5" applyNumberFormat="0" applyAlignment="0" applyProtection="0">
      <alignment vertical="center"/>
    </xf>
    <xf numFmtId="0" fontId="14" fillId="5" borderId="7" applyNumberFormat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8" fillId="7" borderId="0" applyNumberFormat="0" applyBorder="0" applyAlignment="0" applyProtection="0">
      <alignment vertical="center"/>
    </xf>
    <xf numFmtId="0" fontId="19" fillId="8" borderId="0" applyNumberFormat="0" applyBorder="0" applyAlignment="0" applyProtection="0">
      <alignment vertical="center"/>
    </xf>
    <xf numFmtId="0" fontId="20" fillId="9" borderId="0" applyNumberFormat="0" applyBorder="0" applyAlignment="0" applyProtection="0">
      <alignment vertical="center"/>
    </xf>
    <xf numFmtId="0" fontId="21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1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1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1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1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</cellStyleXfs>
  <cellXfs count="4"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0</xdr:row>
          <xdr:rowOff>157163</xdr:rowOff>
        </xdr:from>
        <xdr:to>
          <xdr:col>3</xdr:col>
          <xdr:colOff>1328738</xdr:colOff>
          <xdr:row>0</xdr:row>
          <xdr:rowOff>747713</xdr:rowOff>
        </xdr:to>
        <xdr:sp macro="[0]!ExportJs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5278755" y="156845"/>
              <a:ext cx="1042670" cy="59055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生成配置</a:t>
              </a:r>
              <a:endParaRPr lang="zh-CN" altLang="en-US" sz="1200" b="1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  <a:p>
              <a:pPr algn="ctr" rtl="0">
                <a:defRPr sz="1000"/>
              </a:pPr>
              <a:endParaRPr lang="zh-CN" altLang="en-US" sz="1200" b="1" i="0" u="none" strike="noStrike" baseline="0">
                <a:solidFill>
                  <a:srgbClr val="000000"/>
                </a:solidFill>
                <a:latin typeface="微软雅黑"/>
                <a:ea typeface="微软雅黑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C9"/>
  <sheetViews>
    <sheetView workbookViewId="0">
      <pane ySplit="1" topLeftCell="A2" activePane="bottomLeft" state="frozen"/>
      <selection/>
      <selection pane="bottomLeft" activeCell="B17" sqref="B17"/>
    </sheetView>
  </sheetViews>
  <sheetFormatPr defaultColWidth="22.4017094017094" defaultRowHeight="18" outlineLevelCol="2"/>
  <cols>
    <col min="1" max="16384" width="22.4017094017094" style="2"/>
  </cols>
  <sheetData>
    <row r="1" ht="71.65" customHeight="1" spans="1:3">
      <c r="A1" s="1" t="s">
        <v>0</v>
      </c>
      <c r="B1" s="1" t="s">
        <v>1</v>
      </c>
      <c r="C1" s="1" t="s">
        <v>2</v>
      </c>
    </row>
    <row r="2" spans="1:3">
      <c r="A2" s="2" t="s">
        <v>3</v>
      </c>
      <c r="B2" s="2" t="s">
        <v>4</v>
      </c>
      <c r="C2" s="2" t="s">
        <v>5</v>
      </c>
    </row>
    <row r="3" spans="1:3">
      <c r="A3" s="2" t="s">
        <v>6</v>
      </c>
      <c r="B3" s="2" t="s">
        <v>7</v>
      </c>
      <c r="C3" s="2" t="s">
        <v>8</v>
      </c>
    </row>
    <row r="4" spans="1:3">
      <c r="A4" s="2" t="s">
        <v>9</v>
      </c>
      <c r="B4" s="2" t="s">
        <v>10</v>
      </c>
      <c r="C4" s="2" t="s">
        <v>11</v>
      </c>
    </row>
    <row r="5" spans="1:3">
      <c r="A5" s="2" t="s">
        <v>12</v>
      </c>
      <c r="B5" s="2">
        <v>8083</v>
      </c>
      <c r="C5" s="2" t="s">
        <v>13</v>
      </c>
    </row>
    <row r="6" spans="1:3">
      <c r="A6" s="2" t="s">
        <v>14</v>
      </c>
      <c r="B6" s="2" t="s">
        <v>15</v>
      </c>
      <c r="C6" s="2" t="s">
        <v>16</v>
      </c>
    </row>
    <row r="7" spans="1:3">
      <c r="A7" s="2" t="s">
        <v>17</v>
      </c>
      <c r="B7" s="2">
        <v>1883</v>
      </c>
      <c r="C7" s="2" t="s">
        <v>18</v>
      </c>
    </row>
    <row r="8" spans="1:3">
      <c r="A8" s="2" t="s">
        <v>19</v>
      </c>
      <c r="B8" s="2" t="s">
        <v>20</v>
      </c>
      <c r="C8" s="2" t="s">
        <v>21</v>
      </c>
    </row>
    <row r="9" spans="1:3">
      <c r="A9" s="2" t="s">
        <v>22</v>
      </c>
      <c r="B9" s="2" t="s">
        <v>23</v>
      </c>
      <c r="C9" s="2" t="s">
        <v>24</v>
      </c>
    </row>
  </sheetData>
  <pageMargins left="0.7" right="0.7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>
                  <from>
                    <xdr:col>3</xdr:col>
                    <xdr:colOff>285750</xdr:colOff>
                    <xdr:row>0</xdr:row>
                    <xdr:rowOff>156845</xdr:rowOff>
                  </from>
                  <to>
                    <xdr:col>3</xdr:col>
                    <xdr:colOff>1328420</xdr:colOff>
                    <xdr:row>0</xdr:row>
                    <xdr:rowOff>747395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8"/>
  <sheetViews>
    <sheetView zoomScale="115" zoomScaleNormal="115" workbookViewId="0">
      <pane ySplit="1" topLeftCell="A2" activePane="bottomLeft" state="frozen"/>
      <selection/>
      <selection pane="bottomLeft" activeCell="B11" sqref="B11"/>
    </sheetView>
  </sheetViews>
  <sheetFormatPr defaultColWidth="9" defaultRowHeight="18" outlineLevelRow="7" outlineLevelCol="4"/>
  <cols>
    <col min="1" max="1" width="6.46153846153846" style="2" customWidth="1"/>
    <col min="2" max="2" width="20.9316239316239" style="2" customWidth="1"/>
    <col min="3" max="3" width="20.3333333333333" style="2" customWidth="1"/>
    <col min="4" max="16384" width="9" style="2"/>
  </cols>
  <sheetData>
    <row r="1" s="1" customFormat="1" spans="1:5">
      <c r="A1" s="1" t="s">
        <v>25</v>
      </c>
      <c r="B1" s="1" t="s">
        <v>26</v>
      </c>
      <c r="C1" s="1" t="s">
        <v>27</v>
      </c>
      <c r="D1" s="1" t="s">
        <v>28</v>
      </c>
      <c r="E1" s="2"/>
    </row>
    <row r="2" spans="1:5">
      <c r="A2" s="2">
        <v>0</v>
      </c>
      <c r="B2" s="2" t="s">
        <v>29</v>
      </c>
      <c r="C2" s="2" t="s">
        <v>30</v>
      </c>
    </row>
    <row r="3" spans="1:5">
      <c r="A3" s="2">
        <v>1</v>
      </c>
      <c r="B3" s="2" t="s">
        <v>31</v>
      </c>
      <c r="C3" s="2" t="s">
        <v>32</v>
      </c>
    </row>
    <row r="4" spans="1:5">
      <c r="A4" s="2">
        <v>2</v>
      </c>
      <c r="B4" s="2" t="s">
        <v>33</v>
      </c>
      <c r="C4" s="2" t="s">
        <v>34</v>
      </c>
    </row>
    <row r="5" spans="1:5">
      <c r="A5" s="2">
        <v>3</v>
      </c>
      <c r="B5" s="2" t="s">
        <v>35</v>
      </c>
      <c r="C5" s="2" t="s">
        <v>34</v>
      </c>
    </row>
    <row r="6" spans="1:5">
      <c r="A6" s="2">
        <v>4</v>
      </c>
      <c r="B6" s="2" t="s">
        <v>36</v>
      </c>
      <c r="C6" s="2" t="s">
        <v>34</v>
      </c>
    </row>
    <row r="7" spans="1:5">
      <c r="A7" s="2">
        <v>5</v>
      </c>
      <c r="B7" s="2" t="s">
        <v>37</v>
      </c>
      <c r="C7" s="2" t="s">
        <v>38</v>
      </c>
    </row>
    <row r="8" spans="1:5">
      <c r="A8" s="2">
        <v>6</v>
      </c>
      <c r="B8" s="2" t="s">
        <v>39</v>
      </c>
      <c r="C8" s="2" t="s">
        <v>40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Q8"/>
  <sheetViews>
    <sheetView tabSelected="1" topLeftCell="D1" workbookViewId="0">
      <pane ySplit="1" topLeftCell="A2" activePane="bottomLeft" state="frozen"/>
      <selection/>
      <selection pane="bottomLeft" activeCell="I17" sqref="I17"/>
    </sheetView>
  </sheetViews>
  <sheetFormatPr defaultColWidth="9" defaultRowHeight="18" outlineLevelRow="7"/>
  <cols>
    <col min="1" max="1" width="6.46153846153846" style="2" customWidth="1"/>
    <col min="2" max="2" width="15.5982905982906" style="2" customWidth="1"/>
    <col min="3" max="3" width="13.4615384615385" style="2" customWidth="1"/>
    <col min="4" max="4" width="12.9316239316239" style="2" customWidth="1"/>
    <col min="5" max="10" width="12.1965811965812" style="2" customWidth="1"/>
    <col min="11" max="11" width="16.6666666666667" style="2" customWidth="1"/>
    <col min="12" max="16" width="12.1965811965812" style="2" customWidth="1"/>
    <col min="17" max="16384" width="9.06837606837607" style="2"/>
  </cols>
  <sheetData>
    <row r="1" s="1" customFormat="1" spans="1:17">
      <c r="A1" s="1" t="s">
        <v>25</v>
      </c>
      <c r="B1" s="1" t="s">
        <v>26</v>
      </c>
      <c r="C1" s="1" t="s">
        <v>27</v>
      </c>
      <c r="D1" s="1" t="s">
        <v>41</v>
      </c>
      <c r="E1" s="1" t="s">
        <v>42</v>
      </c>
      <c r="F1" s="1" t="s">
        <v>43</v>
      </c>
      <c r="G1" s="1" t="s">
        <v>44</v>
      </c>
      <c r="H1" s="1" t="s">
        <v>9</v>
      </c>
      <c r="I1" s="1" t="s">
        <v>12</v>
      </c>
      <c r="J1" s="1" t="s">
        <v>45</v>
      </c>
      <c r="K1" s="3" t="s">
        <v>46</v>
      </c>
      <c r="L1" s="3" t="s">
        <v>47</v>
      </c>
      <c r="M1" s="3" t="s">
        <v>48</v>
      </c>
      <c r="N1" s="3" t="s">
        <v>49</v>
      </c>
      <c r="O1" s="3" t="s">
        <v>50</v>
      </c>
      <c r="P1" s="3" t="s">
        <v>51</v>
      </c>
      <c r="Q1" s="1" t="s">
        <v>28</v>
      </c>
    </row>
    <row r="2" spans="1:17">
      <c r="A2" s="2">
        <f>devices!A2</f>
        <v>0</v>
      </c>
      <c r="B2" s="2" t="s">
        <v>29</v>
      </c>
      <c r="C2" s="2" t="s">
        <v>30</v>
      </c>
      <c r="D2" s="2" t="s">
        <v>52</v>
      </c>
      <c r="F2" s="2">
        <v>1000</v>
      </c>
      <c r="G2" s="2">
        <v>500</v>
      </c>
      <c r="L2" s="2">
        <v>500000</v>
      </c>
      <c r="P2" s="2" t="s">
        <v>53</v>
      </c>
    </row>
    <row r="3" spans="1:17">
      <c r="A3" s="2">
        <f>devices!A3</f>
        <v>1</v>
      </c>
      <c r="B3" s="2" t="s">
        <v>31</v>
      </c>
      <c r="C3" s="2" t="s">
        <v>32</v>
      </c>
      <c r="D3" s="2" t="s">
        <v>54</v>
      </c>
      <c r="F3" s="2">
        <v>1000</v>
      </c>
      <c r="G3" s="2">
        <v>500</v>
      </c>
      <c r="H3" s="2" t="s">
        <v>10</v>
      </c>
      <c r="I3" s="2">
        <v>502</v>
      </c>
      <c r="J3" s="2">
        <v>1</v>
      </c>
    </row>
    <row r="4" spans="1:17">
      <c r="A4" s="2">
        <f>devices!A4</f>
        <v>2</v>
      </c>
      <c r="B4" s="2" t="s">
        <v>33</v>
      </c>
      <c r="C4" s="2" t="s">
        <v>34</v>
      </c>
      <c r="D4" s="2" t="s">
        <v>55</v>
      </c>
      <c r="F4" s="2">
        <v>1000</v>
      </c>
      <c r="G4" s="2">
        <v>500</v>
      </c>
      <c r="J4" s="2">
        <v>1</v>
      </c>
      <c r="K4" s="2" t="s">
        <v>56</v>
      </c>
      <c r="L4" s="2">
        <v>9600</v>
      </c>
      <c r="M4" s="2">
        <v>8</v>
      </c>
      <c r="N4" s="2" t="s">
        <v>57</v>
      </c>
      <c r="O4" s="2">
        <v>1</v>
      </c>
    </row>
    <row r="5" spans="1:17">
      <c r="A5" s="2">
        <f>devices!A5</f>
        <v>3</v>
      </c>
      <c r="B5" s="2" t="s">
        <v>35</v>
      </c>
      <c r="C5" s="2" t="s">
        <v>34</v>
      </c>
      <c r="D5" s="2" t="s">
        <v>55</v>
      </c>
      <c r="F5" s="2">
        <v>1000</v>
      </c>
      <c r="G5" s="2">
        <v>500</v>
      </c>
      <c r="J5" s="2">
        <v>1</v>
      </c>
      <c r="K5" s="2" t="s">
        <v>58</v>
      </c>
      <c r="L5" s="2">
        <v>9600</v>
      </c>
      <c r="M5" s="2">
        <v>8</v>
      </c>
      <c r="N5" s="2" t="s">
        <v>57</v>
      </c>
      <c r="O5" s="2">
        <v>1</v>
      </c>
    </row>
    <row r="6" spans="1:17">
      <c r="A6" s="2">
        <f>devices!A6</f>
        <v>4</v>
      </c>
      <c r="B6" s="2" t="s">
        <v>36</v>
      </c>
      <c r="C6" s="2" t="s">
        <v>34</v>
      </c>
      <c r="D6" s="2" t="s">
        <v>55</v>
      </c>
      <c r="F6" s="2">
        <v>1000</v>
      </c>
      <c r="G6" s="2">
        <v>500</v>
      </c>
      <c r="J6" s="2">
        <v>1</v>
      </c>
      <c r="K6" s="2" t="s">
        <v>59</v>
      </c>
      <c r="L6" s="2">
        <v>9600</v>
      </c>
      <c r="M6" s="2">
        <v>8</v>
      </c>
      <c r="N6" s="2" t="s">
        <v>57</v>
      </c>
      <c r="O6" s="2">
        <v>1</v>
      </c>
    </row>
    <row r="7" spans="1:17">
      <c r="A7" s="2">
        <f>devices!A7</f>
        <v>5</v>
      </c>
      <c r="B7" s="2" t="s">
        <v>37</v>
      </c>
      <c r="C7" s="2" t="s">
        <v>38</v>
      </c>
      <c r="D7" s="2" t="s">
        <v>55</v>
      </c>
      <c r="F7" s="2">
        <v>1000</v>
      </c>
      <c r="G7" s="2">
        <v>500</v>
      </c>
      <c r="J7" s="2">
        <v>1</v>
      </c>
      <c r="K7" s="2" t="s">
        <v>60</v>
      </c>
      <c r="L7" s="2">
        <v>9600</v>
      </c>
      <c r="M7" s="2">
        <v>8</v>
      </c>
      <c r="N7" s="2" t="s">
        <v>57</v>
      </c>
      <c r="O7" s="2">
        <v>1</v>
      </c>
    </row>
    <row r="8" spans="1:17">
      <c r="A8" s="2">
        <f>devices!A8</f>
        <v>6</v>
      </c>
      <c r="B8" s="2" t="s">
        <v>39</v>
      </c>
      <c r="C8" s="2" t="s">
        <v>40</v>
      </c>
      <c r="D8" s="2" t="s">
        <v>55</v>
      </c>
      <c r="F8" s="2">
        <v>1000</v>
      </c>
      <c r="G8" s="2">
        <v>500</v>
      </c>
      <c r="J8" s="2">
        <v>1</v>
      </c>
      <c r="K8" s="2" t="s">
        <v>61</v>
      </c>
      <c r="L8" s="2">
        <v>9600</v>
      </c>
      <c r="M8" s="2">
        <v>8</v>
      </c>
      <c r="N8" s="2" t="s">
        <v>57</v>
      </c>
      <c r="O8" s="2">
        <v>1</v>
      </c>
    </row>
  </sheetData>
  <pageMargins left="0.7" right="0.7" top="0.75" bottom="0.75" header="0.3" footer="0.3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project</vt:lpstr>
      <vt:lpstr>devices</vt:lpstr>
      <vt:lpstr>config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袁安</dc:creator>
  <cp:lastModifiedBy>mikasa</cp:lastModifiedBy>
  <dcterms:created xsi:type="dcterms:W3CDTF">2023-05-12T19:15:00Z</dcterms:created>
  <dcterms:modified xsi:type="dcterms:W3CDTF">2026-03-13T16:07:39Z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2052-12.1.2.24722</vt:lpwstr>
  </property>
  <property fmtid="{D5CDD505-2E9C-101B-9397-08002B2CF9AE}" pid="3" name="ICV">
    <vt:lpwstr>7D204EFC9206CE81CBC5B3691260CFD5_42</vt:lpwstr>
  </property>
  <property fmtid="{D5CDD505-2E9C-101B-9397-08002B2CF9AE}" pid="4" name="CalculationRule">
    <vt:i4>0</vt:i4>
  </property>
</Properties>
</file>