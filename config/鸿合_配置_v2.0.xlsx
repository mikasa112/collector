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<sst xmlns="http://schemas.openxmlformats.org/spreadsheetml/2006/main" count="171" uniqueCount="105">
  <si>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</si>
  <si>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</si>
  <si>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</si>
  <si>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</si>
  <si>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</si>
  <si>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</si>
  <si>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</si>
  <si>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</si>
  <si>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</si>
  <si>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</si>
  <si>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</si>
  <si>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</si>
  <si>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</si>
  <si>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</si>
  <si>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</si>
  <si>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</si>
  <si>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</si>
  <si>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</si>
  <si>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</si>
  <si>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</si>
  <si>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</si>
  <si>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</si>
  <si>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</si>
  <si>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</si>
  <si>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</si>
  <si>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</si>
  <si>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</si>
  <si>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</si>
  <si>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</si>
  <si>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</si>
  <si>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</si>
  <si>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</si>
  <si>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</si>
  <si>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</si>
  <si>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</si>
  <si>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</si>
  <si>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</si>
  <si>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</si>
  <si>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</si>
  <si>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</si>
  <si>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</si>
  <si>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</si>
  <si>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</si>
  <si>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</si>
  <si>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</si>
  <si>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</si>
  <si>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</si>
  <si>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</si>
  <si>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</si>
  <si>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</si>
  <si>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</si>
  <si>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</si>
  <si>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</si>
  <si>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</si>
  <si>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</si>
  <si>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</si>
  <si>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</si>
  <si>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</si>
  <si>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</si>
  <si>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</si>
  <si>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</si>
  <si>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</si>
  <si>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</si>
  <si>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</si>
  <si>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</si>
  <si>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</si>
  <si>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</si>
  <si>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</si>
  <si>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</si>
  <si>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</si>
  <si>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ModbusTCP</t>
  </si>
  <si>
    <t>./config/PCS_英博_大机.xlsx</t>
  </si>
  <si>
    <t>192.168.0.1</t>
  </si>
  <si>
    <t>192.168.0.2</t>
  </si>
  <si>
    <t>192.168.0.3</t>
  </si>
  <si>
    <t>192.168.0.4</t>
  </si>
  <si>
    <t>192.168.1.104</t>
  </si>
  <si>
    <t>192.168.1.105</t>
  </si>
  <si>
    <t>192.168.1.106</t>
  </si>
  <si>
    <t>192.168.1.107</t>
  </si>
  <si>
    <t>IEC104</t>
  </si>
  <si>
    <t>./config/测控柜_鸿合.xlsx</t>
  </si>
  <si>
    <t>192.168.1.108</t>
  </si>
  <si>
    <t>device_id</t>
  </si>
  <si>
    <t>topic</t>
  </si>
  <si>
    <t>point_ids</t>
  </si>
  <si>
    <t>enable</t>
  </si>
  <si>
    <t>/pcs/0/yx</t>
  </si>
  <si>
    <t>/pcs/0/yc</t>
  </si>
  <si>
    <t>/pcs/0/yt</t>
  </si>
  <si>
    <t>/pcs/1/yx</t>
  </si>
  <si>
    <t>58,59,60,61,62,63,64,65,66,67,68,69,70,71</t>
  </si>
  <si>
    <t>/pcs/1/yc</t>
  </si>
  <si>
    <t>1,2,3,4,5,6,7,8,9,10,11,12,13,14,15,16,17,18,19,20,21,22,23,24,25,26,27,28,29,30,31,32,33,34,35,36,40,41,42,43,44,45,46,47,48,49,50,51,52,53,54,55,56,57</t>
  </si>
  <si>
    <t>/pcs/1/yt</t>
  </si>
  <si>
    <t>2000,2001,2002,2003,2004,2005,2006,2007,2008,2009,2010,2011,2012,2013,2014,2015,2016,2017,2018,2019,2020,2021,2022,2023,2024,2025,2026,2027,2028,2029</t>
  </si>
  <si>
    <t>/pcs/2/yx</t>
  </si>
  <si>
    <t>/pcs/2/yc</t>
  </si>
  <si>
    <t>/pcs/2/yt</t>
  </si>
  <si>
    <t>/pcs/3/yx</t>
  </si>
  <si>
    <t>/pcs/3/yc</t>
  </si>
  <si>
    <t>/pcs/3/yt</t>
  </si>
  <si>
    <t>/crd/0/yx</t>
  </si>
  <si>
    <t>/crd/0/yc</t>
  </si>
  <si>
    <t>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</si>
</sst>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  <scheme val="minor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45" zoomScaleNormal="145" workbookViewId="0">
      <pane ySplit="1" topLeftCell="A2" activePane="bottomLeft" state="frozen"/>
      <selection/>
      <selection pane="bottomLeft" activeCell="C8" sqref="C8"/>
    </sheetView>
  </sheetViews>
  <sheetFormatPr defaultColWidth="22.4017094017094" defaultRowHeight="18" outlineLevelCol="2"/>
  <cols>
    <col min="1" max="1" width="22.4017094017094" style="3"/>
    <col min="2" max="2" width="33.7948717948718" style="3" customWidth="1"/>
    <col min="3" max="16384" width="22.4017094017094" style="3"/>
  </cols>
  <sheetData>
    <row r="1" spans="1:3">
      <c r="A1" s="6" t="s">
        <v>0</v>
      </c>
      <c r="B1" s="6" t="s">
        <v>1</v>
      </c>
      <c r="C1" s="6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zoomScale="130" zoomScaleNormal="130" workbookViewId="0">
      <pane ySplit="1" topLeftCell="A2" activePane="bottomLeft" state="frozen"/>
      <selection/>
      <selection pane="bottomLeft" activeCell="B10" sqref="B10"/>
    </sheetView>
  </sheetViews>
  <sheetFormatPr defaultColWidth="9" defaultRowHeight="18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4" width="12.0940170940171" style="3" customWidth="1"/>
    <col min="5" max="16384" width="9" style="3"/>
  </cols>
  <sheetData>
    <row r="1" s="6" customFormat="1" spans="1:5">
      <c r="A1" s="6" t="s">
        <v>38</v>
      </c>
      <c r="B1" s="6" t="s">
        <v>39</v>
      </c>
      <c r="C1" s="6" t="s">
        <v>40</v>
      </c>
      <c r="D1" s="6" t="s">
        <v>41</v>
      </c>
      <c r="E1" s="3"/>
    </row>
    <row r="2" spans="1:5">
      <c r="A2" s="3">
        <v>1</v>
      </c>
      <c r="B2" s="3" t="s">
        <v>42</v>
      </c>
      <c r="C2" s="3" t="s">
        <v>43</v>
      </c>
      <c r="D2" s="3" t="s">
        <v>44</v>
      </c>
    </row>
    <row r="3" spans="1:5">
      <c r="A3" s="3">
        <v>2</v>
      </c>
      <c r="B3" s="3" t="s">
        <v>45</v>
      </c>
      <c r="C3" s="3" t="s">
        <v>43</v>
      </c>
      <c r="D3" s="4" t="s">
        <v>44</v>
      </c>
    </row>
    <row r="4" spans="1:5">
      <c r="A4" s="3">
        <v>3</v>
      </c>
      <c r="B4" s="3" t="s">
        <v>46</v>
      </c>
      <c r="C4" s="3" t="s">
        <v>43</v>
      </c>
      <c r="D4" s="4" t="s">
        <v>44</v>
      </c>
    </row>
    <row r="5" spans="1:5">
      <c r="A5" s="3">
        <v>4</v>
      </c>
      <c r="B5" s="3" t="s">
        <v>47</v>
      </c>
      <c r="C5" s="3" t="s">
        <v>43</v>
      </c>
      <c r="D5" s="4" t="s">
        <v>44</v>
      </c>
    </row>
    <row r="6" spans="1:5">
      <c r="A6" s="3">
        <v>5</v>
      </c>
      <c r="B6" s="3" t="s">
        <v>48</v>
      </c>
      <c r="C6" s="3" t="s">
        <v>49</v>
      </c>
      <c r="D6" s="3" t="s">
        <v>50</v>
      </c>
    </row>
    <row r="7" spans="1:5">
      <c r="A7" s="3">
        <v>6</v>
      </c>
      <c r="B7" s="3" t="s">
        <v>51</v>
      </c>
      <c r="C7" s="3" t="s">
        <v>49</v>
      </c>
      <c r="D7" s="3" t="s">
        <v>50</v>
      </c>
    </row>
    <row r="8" spans="1:5">
      <c r="A8" s="3">
        <v>7</v>
      </c>
      <c r="B8" s="3" t="s">
        <v>52</v>
      </c>
      <c r="C8" s="3" t="s">
        <v>49</v>
      </c>
      <c r="D8" s="3" t="s">
        <v>50</v>
      </c>
    </row>
    <row r="9" spans="1:5">
      <c r="A9" s="3">
        <v>8</v>
      </c>
      <c r="B9" s="3" t="s">
        <v>53</v>
      </c>
      <c r="C9" s="3" t="s">
        <v>49</v>
      </c>
      <c r="D9" s="3" t="s">
        <v>50</v>
      </c>
    </row>
    <row r="10" spans="1:5">
      <c r="A10" s="3">
        <v>9</v>
      </c>
      <c r="B10" s="3" t="s">
        <v>54</v>
      </c>
      <c r="C10" s="3" t="s">
        <v>55</v>
      </c>
      <c r="D10" s="3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10"/>
  <sheetViews>
    <sheetView tabSelected="1" workbookViewId="0">
      <pane ySplit="1" topLeftCell="A2" activePane="bottomLeft" state="frozen"/>
      <selection/>
      <selection pane="bottomLeft" activeCell="E17" sqref="E17"/>
    </sheetView>
  </sheetViews>
  <sheetFormatPr defaultColWidth="9" defaultRowHeight="18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5.8034188034188" style="3" customWidth="1"/>
    <col min="5" max="5" width="44.5299145299145" style="3" customWidth="1"/>
    <col min="6" max="7" width="12.1965811965812" style="3" customWidth="1"/>
    <col min="8" max="8" width="16.6068376068376" style="3" customWidth="1"/>
    <col min="9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6" customFormat="1" spans="1:17">
      <c r="A1" s="6" t="s">
        <v>38</v>
      </c>
      <c r="B1" s="6" t="s">
        <v>39</v>
      </c>
      <c r="C1" s="6" t="s">
        <v>40</v>
      </c>
      <c r="D1" s="6" t="s">
        <v>57</v>
      </c>
      <c r="E1" s="6" t="s">
        <v>58</v>
      </c>
      <c r="F1" s="6" t="s">
        <v>59</v>
      </c>
      <c r="G1" s="6" t="s">
        <v>60</v>
      </c>
      <c r="H1" s="6" t="s">
        <v>61</v>
      </c>
      <c r="I1" s="6" t="s">
        <v>62</v>
      </c>
      <c r="J1" s="6" t="s">
        <v>63</v>
      </c>
      <c r="K1" s="7" t="s">
        <v>64</v>
      </c>
      <c r="L1" s="7" t="s">
        <v>65</v>
      </c>
      <c r="M1" s="7" t="s">
        <v>66</v>
      </c>
      <c r="N1" s="7" t="s">
        <v>67</v>
      </c>
      <c r="O1" s="7" t="s">
        <v>68</v>
      </c>
      <c r="P1" s="7" t="s">
        <v>69</v>
      </c>
      <c r="Q1" s="6" t="s">
        <v>41</v>
      </c>
    </row>
    <row r="2" spans="1:17">
      <c r="A2" s="3">
        <f>devices!A2</f>
        <v>1</v>
      </c>
      <c r="B2" s="3" t="s">
        <v>42</v>
      </c>
      <c r="C2" s="3" t="s">
        <v>43</v>
      </c>
      <c r="D2" s="4" t="s">
        <v>70</v>
      </c>
      <c r="E2" s="3" t="s">
        <v>71</v>
      </c>
      <c r="F2" s="3">
        <v>1000</v>
      </c>
      <c r="G2" s="3">
        <v>500</v>
      </c>
      <c r="H2" s="3" t="s">
        <v>72</v>
      </c>
      <c r="I2" s="3">
        <v>502</v>
      </c>
      <c r="J2" s="3">
        <v>1</v>
      </c>
    </row>
    <row r="3" spans="1:17">
      <c r="A3" s="3">
        <f>devices!A3</f>
        <v>2</v>
      </c>
      <c r="B3" s="3" t="s">
        <v>45</v>
      </c>
      <c r="C3" s="3" t="s">
        <v>43</v>
      </c>
      <c r="D3" s="3" t="s">
        <v>70</v>
      </c>
      <c r="E3" s="3" t="s">
        <v>71</v>
      </c>
      <c r="F3" s="3">
        <v>1000</v>
      </c>
      <c r="G3" s="3">
        <v>500</v>
      </c>
      <c r="H3" s="3" t="s">
        <v>73</v>
      </c>
      <c r="I3" s="3">
        <v>502</v>
      </c>
      <c r="J3" s="3">
        <v>1</v>
      </c>
    </row>
    <row r="4" spans="1:17">
      <c r="A4" s="3">
        <f>devices!A4</f>
        <v>3</v>
      </c>
      <c r="B4" s="3" t="s">
        <v>46</v>
      </c>
      <c r="C4" s="3" t="s">
        <v>43</v>
      </c>
      <c r="D4" s="4" t="s">
        <v>70</v>
      </c>
      <c r="E4" s="3" t="s">
        <v>71</v>
      </c>
      <c r="F4" s="3">
        <v>1000</v>
      </c>
      <c r="G4" s="3">
        <v>500</v>
      </c>
      <c r="H4" s="3" t="s">
        <v>74</v>
      </c>
      <c r="I4" s="3">
        <v>502</v>
      </c>
      <c r="J4" s="3">
        <v>1</v>
      </c>
    </row>
    <row r="5" spans="1:17">
      <c r="A5" s="3">
        <f>devices!A5</f>
        <v>4</v>
      </c>
      <c r="B5" s="3" t="s">
        <v>47</v>
      </c>
      <c r="C5" s="3" t="s">
        <v>43</v>
      </c>
      <c r="D5" s="4" t="s">
        <v>70</v>
      </c>
      <c r="E5" s="3" t="s">
        <v>71</v>
      </c>
      <c r="F5" s="3">
        <v>1000</v>
      </c>
      <c r="G5" s="3">
        <v>500</v>
      </c>
      <c r="H5" s="3" t="s">
        <v>75</v>
      </c>
      <c r="I5" s="3">
        <v>502</v>
      </c>
      <c r="J5" s="3">
        <v>1</v>
      </c>
    </row>
    <row r="6" spans="1:17">
      <c r="A6" s="3">
        <f>devices!A6</f>
        <v>5</v>
      </c>
      <c r="B6" s="3" t="s">
        <v>48</v>
      </c>
      <c r="C6" s="3" t="s">
        <v>49</v>
      </c>
      <c r="D6" s="4" t="s">
        <v>70</v>
      </c>
      <c r="F6" s="3">
        <v>1000</v>
      </c>
      <c r="G6" s="3">
        <v>500</v>
      </c>
      <c r="H6" s="3" t="s">
        <v>76</v>
      </c>
      <c r="I6" s="3">
        <v>502</v>
      </c>
      <c r="J6" s="3">
        <v>1</v>
      </c>
    </row>
    <row r="7" spans="1:17">
      <c r="A7" s="3">
        <f>devices!A7</f>
        <v>6</v>
      </c>
      <c r="B7" s="3" t="s">
        <v>51</v>
      </c>
      <c r="C7" s="3" t="s">
        <v>49</v>
      </c>
      <c r="D7" s="4" t="s">
        <v>70</v>
      </c>
      <c r="F7" s="3">
        <v>1000</v>
      </c>
      <c r="G7" s="3">
        <v>500</v>
      </c>
      <c r="H7" s="3" t="s">
        <v>77</v>
      </c>
      <c r="I7" s="3">
        <v>502</v>
      </c>
      <c r="J7" s="3">
        <v>1</v>
      </c>
    </row>
    <row r="8" spans="1:17">
      <c r="A8" s="3">
        <f>devices!A8</f>
        <v>7</v>
      </c>
      <c r="B8" s="3" t="s">
        <v>52</v>
      </c>
      <c r="C8" s="3" t="s">
        <v>49</v>
      </c>
      <c r="D8" s="4" t="s">
        <v>70</v>
      </c>
      <c r="F8" s="3">
        <v>1000</v>
      </c>
      <c r="G8" s="3">
        <v>500</v>
      </c>
      <c r="H8" s="3" t="s">
        <v>78</v>
      </c>
      <c r="I8" s="3">
        <v>502</v>
      </c>
      <c r="J8" s="3">
        <v>1</v>
      </c>
    </row>
    <row r="9" spans="1:17">
      <c r="A9" s="3">
        <f>devices!A9</f>
        <v>8</v>
      </c>
      <c r="B9" s="3" t="s">
        <v>53</v>
      </c>
      <c r="C9" s="3" t="s">
        <v>49</v>
      </c>
      <c r="D9" s="4" t="s">
        <v>70</v>
      </c>
      <c r="F9" s="3">
        <v>1000</v>
      </c>
      <c r="G9" s="3">
        <v>500</v>
      </c>
      <c r="H9" s="3" t="s">
        <v>79</v>
      </c>
      <c r="I9" s="3">
        <v>502</v>
      </c>
      <c r="J9" s="3">
        <v>1</v>
      </c>
    </row>
    <row r="10" spans="1:17">
      <c r="A10" s="3">
        <v>9</v>
      </c>
      <c r="B10" s="3" t="s">
        <v>54</v>
      </c>
      <c r="C10" s="8" t="s">
        <v>55</v>
      </c>
      <c r="D10" s="3" t="s">
        <v>80</v>
      </c>
      <c r="E10" s="3" t="s">
        <v>81</v>
      </c>
      <c r="H10" s="3" t="s">
        <v>82</v>
      </c>
      <c r="I10" s="3">
        <v>502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zoomScale="85" zoomScaleNormal="85" workbookViewId="0">
      <pane ySplit="1" topLeftCell="A2" activePane="bottomLeft" state="frozen"/>
      <selection/>
      <selection pane="bottomLeft" activeCell="D30" sqref="D30"/>
    </sheetView>
  </sheetViews>
  <sheetFormatPr defaultColWidth="9.11111111111111" defaultRowHeight="18" outlineLevelCol="6"/>
  <cols>
    <col min="1" max="1" width="11.7606837606838" style="2" customWidth="1"/>
    <col min="2" max="2" width="20.6752136752137" style="2" customWidth="1"/>
    <col min="3" max="3" width="237.846153846154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83</v>
      </c>
      <c r="B1" s="1" t="s">
        <v>84</v>
      </c>
      <c r="C1" s="1" t="s">
        <v>85</v>
      </c>
      <c r="D1" s="1" t="s">
        <v>86</v>
      </c>
      <c r="E1" s="2"/>
      <c r="F1" s="2"/>
      <c r="G1" s="2"/>
    </row>
    <row r="2" spans="1:7">
      <c r="A2" s="3" t="s">
        <v>42</v>
      </c>
      <c r="B2" s="3" t="s">
        <v>87</v>
      </c>
      <c r="C2" s="2" t="str">
        <f>_xlfn.TEXTJOIN(",",TRUE,[1]遥测!$A$56:$A$71)</f>
        <v>58,59,60,61,62,63,64,65,66,67,68,69,70,71</v>
      </c>
      <c r="D2" s="2">
        <v>1</v>
      </c>
    </row>
    <row r="3" spans="1:7">
      <c r="A3" s="3" t="s">
        <v>42</v>
      </c>
      <c r="B3" s="2" t="s">
        <v>88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3" t="s">
        <v>42</v>
      </c>
      <c r="B4" s="2" t="s">
        <v>89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2">
        <v>1</v>
      </c>
    </row>
    <row r="5" spans="1:7">
      <c r="A5" s="4" t="s">
        <v>45</v>
      </c>
      <c r="B5" s="4" t="s">
        <v>90</v>
      </c>
      <c r="C5" s="5" t="s">
        <v>91</v>
      </c>
      <c r="D5" s="2">
        <v>1</v>
      </c>
    </row>
    <row r="6" spans="1:7">
      <c r="A6" s="4" t="s">
        <v>45</v>
      </c>
      <c r="B6" s="5" t="s">
        <v>92</v>
      </c>
      <c r="C6" s="5" t="s">
        <v>93</v>
      </c>
      <c r="D6" s="2">
        <v>1</v>
      </c>
    </row>
    <row r="7" spans="1:7">
      <c r="A7" s="4" t="s">
        <v>45</v>
      </c>
      <c r="B7" s="5" t="s">
        <v>94</v>
      </c>
      <c r="C7" s="5" t="s">
        <v>95</v>
      </c>
      <c r="D7" s="2">
        <v>1</v>
      </c>
    </row>
    <row r="8" spans="1:7">
      <c r="A8" s="4" t="s">
        <v>46</v>
      </c>
      <c r="B8" s="4" t="s">
        <v>96</v>
      </c>
      <c r="C8" s="5" t="s">
        <v>91</v>
      </c>
      <c r="D8" s="2">
        <v>1</v>
      </c>
    </row>
    <row r="9" spans="1:7">
      <c r="A9" s="4" t="s">
        <v>46</v>
      </c>
      <c r="B9" s="5" t="s">
        <v>97</v>
      </c>
      <c r="C9" s="5" t="s">
        <v>93</v>
      </c>
      <c r="D9" s="2">
        <v>1</v>
      </c>
    </row>
    <row r="10" spans="1:7">
      <c r="A10" s="4" t="s">
        <v>46</v>
      </c>
      <c r="B10" s="5" t="s">
        <v>98</v>
      </c>
      <c r="C10" s="5" t="s">
        <v>95</v>
      </c>
      <c r="D10" s="2">
        <v>1</v>
      </c>
    </row>
    <row r="11" spans="1:7">
      <c r="A11" s="4" t="s">
        <v>47</v>
      </c>
      <c r="B11" s="4" t="s">
        <v>99</v>
      </c>
      <c r="C11" s="5" t="s">
        <v>91</v>
      </c>
      <c r="D11" s="2">
        <v>1</v>
      </c>
    </row>
    <row r="12" spans="1:7">
      <c r="A12" s="4" t="s">
        <v>47</v>
      </c>
      <c r="B12" s="5" t="s">
        <v>100</v>
      </c>
      <c r="C12" s="5" t="s">
        <v>93</v>
      </c>
      <c r="D12" s="2">
        <v>1</v>
      </c>
    </row>
    <row r="13" spans="1:7">
      <c r="A13" s="4" t="s">
        <v>47</v>
      </c>
      <c r="B13" s="5" t="s">
        <v>101</v>
      </c>
      <c r="C13" s="5" t="s">
        <v>95</v>
      </c>
      <c r="D13" s="2">
        <v>1</v>
      </c>
    </row>
    <row r="14" spans="1:7">
      <c r="A14" s="3" t="s">
        <v>54</v>
      </c>
      <c r="B14" s="2" t="s">
        <v>102</v>
      </c>
      <c r="C14" s="2" t="str">
        <f>_xlfn.TEXTJOIN(",",TRUE,[2]遥信!$A$2:$A$120)</f>
        <v>1000,1001,1002,1003,1004,1005,1006,1007,1008,1009,1010,1011,1012,1013,1014,1015,1016,1017,1018,1019,1020,1021,1022,1023,1024,1025,1026,1027,1028,1029,1030,1031,1032,1033,1034,1035,1036,1037,1038,1039,1040,1041,1042,1043</v>
      </c>
      <c r="D14" s="2">
        <v>1</v>
      </c>
    </row>
    <row r="15" spans="1:7">
      <c r="A15" s="3" t="s">
        <v>54</v>
      </c>
      <c r="B15" s="2" t="s">
        <v>103</v>
      </c>
      <c r="C15" s="2" t="str">
        <f>_xlfn.TEXTJOIN(",",TRUE,[2]遥测!$A$2:$A$120)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</v>
      </c>
      <c r="D15" s="2">
        <v>1</v>
      </c>
    </row>
    <row r="16" spans="1:7">
      <c r="A16" s="3" t="s">
        <v>54</v>
      </c>
      <c r="B16" s="2" t="s">
        <v>104</v>
      </c>
      <c r="C16" s="2" t="str">
        <f>_xlfn.TEXTJOIN(",",TRUE,[2]遥控!$A$2:$A$120)</f>
        <v>3000,3001,3002,3003</v>
      </c>
      <c r="D1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2023-05-21T03:15:00Z</dcterms:created>
  <dcterms:modified xsi:type="dcterms:W3CDTF">2026-06-03T16:44:32Z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