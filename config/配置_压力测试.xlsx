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010" windowHeight="11888" activeTab="2"/>
  </bookViews>
  <sheets>
    <sheet name="project" sheetId="1" r:id="rId1"/>
    <sheet name="devices" sheetId="2" r:id="rId2"/>
    <sheet name="config" sheetId="4" r:id="rId3"/>
    <sheet name="mqtt_routes" sheetId="5" r:id="rId4"/>
  </sheets>
  <externalReferences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<sst xmlns="http://schemas.openxmlformats.org/spreadsheetml/2006/main" count="238" uniqueCount="117">
  <si>
    <t>key</t>
  </si>
  <si>
    <t>value</t>
  </si>
  <si>
    <t>备注</t>
  </si>
  <si>
    <t>product_type</t>
  </si>
  <si>
    <t>哈哈哥的压力测试</t>
  </si>
  <si>
    <t>项目类型</t>
  </si>
  <si>
    <t>project</t>
  </si>
  <si>
    <t>项目名称：</t>
  </si>
  <si>
    <t>emu_enable</t>
  </si>
  <si>
    <t>是否启用EMU功能</t>
  </si>
  <si>
    <t>http_ip</t>
  </si>
  <si>
    <t>0.0.0.0</t>
  </si>
  <si>
    <t>HTTP监听IP</t>
  </si>
  <si>
    <t>http_port</t>
  </si>
  <si>
    <t>HTTP监听端口</t>
  </si>
  <si>
    <t>mqtt_enable</t>
  </si>
  <si>
    <t>是否启用MQTT</t>
  </si>
  <si>
    <t>mqtt_host</t>
  </si>
  <si>
    <t>127.0.0.1</t>
  </si>
  <si>
    <t>MQTT服务器地址</t>
  </si>
  <si>
    <t>mqtt_port</t>
  </si>
  <si>
    <t>MQTT服务器端口</t>
  </si>
  <si>
    <t>mqtt_username</t>
  </si>
  <si>
    <t>root</t>
  </si>
  <si>
    <t>MQTT用户名</t>
  </si>
  <si>
    <t>mqtt_password</t>
  </si>
  <si>
    <t>inpower</t>
  </si>
  <si>
    <t>MQTT密码</t>
  </si>
  <si>
    <t>mqtt_yt</t>
  </si>
  <si>
    <t>/asw/+/+/setyt</t>
  </si>
  <si>
    <t>MQTT遥调</t>
  </si>
  <si>
    <t>mqtt_yk</t>
  </si>
  <si>
    <t>/asw/+/+/setyk</t>
  </si>
  <si>
    <t>MQTT遥控</t>
  </si>
  <si>
    <t>north_modbus_host</t>
  </si>
  <si>
    <t>北向Modbus从机IP</t>
  </si>
  <si>
    <t>north_modbus_port</t>
  </si>
  <si>
    <t>北向Modbus从机端口</t>
  </si>
  <si>
    <t>north_modbus_conf</t>
  </si>
  <si>
    <t>./config/MODBUS_REGISTERS.xlsx</t>
  </si>
  <si>
    <t>北向Modbus配置文件</t>
  </si>
  <si>
    <t>no</t>
  </si>
  <si>
    <t>id</t>
  </si>
  <si>
    <t>type</t>
  </si>
  <si>
    <t>desc</t>
  </si>
  <si>
    <t>pcs1</t>
  </si>
  <si>
    <t>PCS</t>
  </si>
  <si>
    <t>125kW</t>
  </si>
  <si>
    <t>pcs2</t>
  </si>
  <si>
    <t>pcs3</t>
  </si>
  <si>
    <t>pcs4</t>
  </si>
  <si>
    <t>pcs5</t>
  </si>
  <si>
    <t>pcs6</t>
  </si>
  <si>
    <t>pcs7</t>
  </si>
  <si>
    <t>pcs8</t>
  </si>
  <si>
    <t>pcs9</t>
  </si>
  <si>
    <t>pcs10</t>
  </si>
  <si>
    <t>pcs11</t>
  </si>
  <si>
    <t>pcs12</t>
  </si>
  <si>
    <t>comType</t>
  </si>
  <si>
    <t>registerFile</t>
  </si>
  <si>
    <t>interval</t>
  </si>
  <si>
    <t>timeout</t>
  </si>
  <si>
    <t>ip</t>
  </si>
  <si>
    <t>port</t>
  </si>
  <si>
    <t>slave</t>
  </si>
  <si>
    <t>serialTty</t>
  </si>
  <si>
    <t>baudRate</t>
  </si>
  <si>
    <t>dataBits</t>
  </si>
  <si>
    <t>parity</t>
  </si>
  <si>
    <t>stopBits</t>
  </si>
  <si>
    <t>interface</t>
  </si>
  <si>
    <t>requestInterval</t>
  </si>
  <si>
    <t>maxGap</t>
  </si>
  <si>
    <t>ModbusTCP</t>
  </si>
  <si>
    <t>./config/PCS_125_英博.xlsx</t>
  </si>
  <si>
    <t>192.168.100.140</t>
  </si>
  <si>
    <t>device_id</t>
  </si>
  <si>
    <t>topic</t>
  </si>
  <si>
    <t>point_ids</t>
  </si>
  <si>
    <t>enable</t>
  </si>
  <si>
    <t>/pds/pcs/0/yx</t>
  </si>
  <si>
    <t>/pds/pcs/0/yc</t>
  </si>
  <si>
    <t>/pds/pcs/0/yt</t>
  </si>
  <si>
    <t>/pds/pcs/1/yx</t>
  </si>
  <si>
    <t>/pds/pcs/1/yc</t>
  </si>
  <si>
    <t>/pds/pcs/1/yt</t>
  </si>
  <si>
    <t>/pds/pcs/2/yx</t>
  </si>
  <si>
    <t>/pds/pcs/2/yc</t>
  </si>
  <si>
    <t>/pds/pcs/2/yt</t>
  </si>
  <si>
    <t>/pds/pcs/3/yx</t>
  </si>
  <si>
    <t>/pds/pcs/3/yc</t>
  </si>
  <si>
    <t>/pds/pcs/3/yt</t>
  </si>
  <si>
    <t>/pds/pcs/4/yx</t>
  </si>
  <si>
    <t>/pds/pcs/4/yc</t>
  </si>
  <si>
    <t>/pds/pcs/4/yt</t>
  </si>
  <si>
    <t>/pds/pcs/5/yx</t>
  </si>
  <si>
    <t>/pds/pcs/5/yc</t>
  </si>
  <si>
    <t>/pds/pcs/5/yt</t>
  </si>
  <si>
    <t>/pds/pcs/6/yx</t>
  </si>
  <si>
    <t>/pds/pcs/6/yc</t>
  </si>
  <si>
    <t>/pds/pcs/6/yt</t>
  </si>
  <si>
    <t>/pds/pcs/7/yx</t>
  </si>
  <si>
    <t>/pds/pcs/7/yc</t>
  </si>
  <si>
    <t>/pds/pcs/7/yt</t>
  </si>
  <si>
    <t>/pds/pcs/8/yx</t>
  </si>
  <si>
    <t>/pds/pcs/8/yc</t>
  </si>
  <si>
    <t>/pds/pcs/8/yt</t>
  </si>
  <si>
    <t>/pds/pcs/9/yx</t>
  </si>
  <si>
    <t>/pds/pcs/9/yc</t>
  </si>
  <si>
    <t>/pds/pcs/9/yt</t>
  </si>
  <si>
    <t>/pds/pcs/10/yx</t>
  </si>
  <si>
    <t>/pds/pcs/10/yc</t>
  </si>
  <si>
    <t>/pds/pcs/10/yt</t>
  </si>
  <si>
    <t>/pds/pcs/11/yx</t>
  </si>
  <si>
    <t>/pds/pcs/11/yc</t>
  </si>
  <si>
    <t>/pds/pcs/11/yt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</si>
</sst>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CS_&#33521;&#21338;_&#22823;&#2642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CS_125_&#33521;&#21338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调"/>
      <sheetName val="遥"/>
    </sheetNames>
    <sheetDataSet>
      <sheetData sheetId="0">
        <row r="2">
          <cell r="A2">
            <v>1</v>
          </cell>
        </row>
        <row r="3">
          <cell r="A3">
            <v>2</v>
          </cell>
        </row>
        <row r="4">
          <cell r="A4">
            <v>3</v>
          </cell>
        </row>
        <row r="5">
          <cell r="A5">
            <v>4</v>
          </cell>
        </row>
        <row r="6">
          <cell r="A6">
            <v>5</v>
          </cell>
        </row>
        <row r="7">
          <cell r="A7">
            <v>6</v>
          </cell>
        </row>
        <row r="8">
          <cell r="A8">
            <v>7</v>
          </cell>
        </row>
        <row r="9">
          <cell r="A9">
            <v>8</v>
          </cell>
        </row>
        <row r="10">
          <cell r="A10">
            <v>9</v>
          </cell>
        </row>
        <row r="11">
          <cell r="A11">
            <v>10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>
            <v>20</v>
          </cell>
        </row>
        <row r="22">
          <cell r="A22">
            <v>21</v>
          </cell>
        </row>
        <row r="23">
          <cell r="A23">
            <v>22</v>
          </cell>
        </row>
        <row r="24">
          <cell r="A24">
            <v>23</v>
          </cell>
        </row>
        <row r="25">
          <cell r="A25">
            <v>24</v>
          </cell>
        </row>
        <row r="26">
          <cell r="A26">
            <v>25</v>
          </cell>
        </row>
        <row r="27">
          <cell r="A27">
            <v>26</v>
          </cell>
        </row>
        <row r="28">
          <cell r="A28">
            <v>27</v>
          </cell>
        </row>
        <row r="29">
          <cell r="A29">
            <v>28</v>
          </cell>
        </row>
        <row r="30">
          <cell r="A30">
            <v>29</v>
          </cell>
        </row>
        <row r="31">
          <cell r="A31">
            <v>30</v>
          </cell>
        </row>
        <row r="32">
          <cell r="A32">
            <v>31</v>
          </cell>
        </row>
        <row r="33">
          <cell r="A33">
            <v>32</v>
          </cell>
        </row>
        <row r="34">
          <cell r="A34">
            <v>33</v>
          </cell>
        </row>
        <row r="35">
          <cell r="A35">
            <v>34</v>
          </cell>
        </row>
        <row r="36">
          <cell r="A36">
            <v>35</v>
          </cell>
        </row>
        <row r="37">
          <cell r="A37">
            <v>36</v>
          </cell>
        </row>
        <row r="38">
          <cell r="A38">
            <v>40</v>
          </cell>
        </row>
        <row r="39">
          <cell r="A39">
            <v>41</v>
          </cell>
        </row>
        <row r="40">
          <cell r="A40">
            <v>42</v>
          </cell>
        </row>
        <row r="41">
          <cell r="A41">
            <v>43</v>
          </cell>
        </row>
        <row r="42">
          <cell r="A42">
            <v>44</v>
          </cell>
        </row>
        <row r="43">
          <cell r="A43">
            <v>45</v>
          </cell>
        </row>
        <row r="44">
          <cell r="A44">
            <v>46</v>
          </cell>
        </row>
        <row r="45">
          <cell r="A45">
            <v>47</v>
          </cell>
        </row>
        <row r="46">
          <cell r="A46">
            <v>48</v>
          </cell>
        </row>
        <row r="47">
          <cell r="A47">
            <v>49</v>
          </cell>
        </row>
        <row r="48">
          <cell r="A48">
            <v>50</v>
          </cell>
        </row>
        <row r="49">
          <cell r="A49">
            <v>51</v>
          </cell>
        </row>
        <row r="50">
          <cell r="A50">
            <v>52</v>
          </cell>
        </row>
        <row r="51">
          <cell r="A51">
            <v>53</v>
          </cell>
        </row>
        <row r="52">
          <cell r="A52">
            <v>54</v>
          </cell>
        </row>
        <row r="53">
          <cell r="A53">
            <v>55</v>
          </cell>
        </row>
        <row r="54">
          <cell r="A54">
            <v>56</v>
          </cell>
        </row>
        <row r="55">
          <cell r="A55">
            <v>57</v>
          </cell>
        </row>
        <row r="56">
          <cell r="A56">
            <v>58</v>
          </cell>
        </row>
        <row r="57">
          <cell r="A57">
            <v>59</v>
          </cell>
        </row>
        <row r="58">
          <cell r="A58">
            <v>60</v>
          </cell>
        </row>
        <row r="59">
          <cell r="A59">
            <v>61</v>
          </cell>
        </row>
        <row r="60">
          <cell r="A60">
            <v>62</v>
          </cell>
        </row>
        <row r="61">
          <cell r="A61">
            <v>63</v>
          </cell>
        </row>
        <row r="62">
          <cell r="A62">
            <v>64</v>
          </cell>
        </row>
        <row r="63">
          <cell r="A63">
            <v>65</v>
          </cell>
        </row>
        <row r="64">
          <cell r="A64">
            <v>66</v>
          </cell>
        </row>
        <row r="65">
          <cell r="A65">
            <v>67</v>
          </cell>
        </row>
        <row r="66">
          <cell r="A66">
            <v>68</v>
          </cell>
        </row>
        <row r="67">
          <cell r="A67">
            <v>69</v>
          </cell>
        </row>
        <row r="68">
          <cell r="A68">
            <v>70</v>
          </cell>
        </row>
        <row r="69">
          <cell r="A69">
            <v>71</v>
          </cell>
        </row>
      </sheetData>
      <sheetData sheetId="1">
        <row r="2">
          <cell r="A2">
            <v>2000</v>
          </cell>
        </row>
        <row r="3">
          <cell r="A3">
            <v>2001</v>
          </cell>
        </row>
        <row r="4">
          <cell r="A4">
            <v>2002</v>
          </cell>
        </row>
        <row r="5">
          <cell r="A5">
            <v>2003</v>
          </cell>
        </row>
        <row r="6">
          <cell r="A6">
            <v>2004</v>
          </cell>
        </row>
        <row r="7">
          <cell r="A7">
            <v>2005</v>
          </cell>
        </row>
        <row r="8">
          <cell r="A8">
            <v>2006</v>
          </cell>
        </row>
        <row r="9">
          <cell r="A9">
            <v>2007</v>
          </cell>
        </row>
        <row r="10">
          <cell r="A10">
            <v>2008</v>
          </cell>
        </row>
        <row r="11">
          <cell r="A11">
            <v>2009</v>
          </cell>
        </row>
        <row r="12">
          <cell r="A12">
            <v>2010</v>
          </cell>
        </row>
        <row r="13">
          <cell r="A13">
            <v>2011</v>
          </cell>
        </row>
        <row r="14">
          <cell r="A14">
            <v>2012</v>
          </cell>
        </row>
        <row r="15">
          <cell r="A15">
            <v>2013</v>
          </cell>
        </row>
        <row r="16">
          <cell r="A16">
            <v>2014</v>
          </cell>
        </row>
        <row r="17">
          <cell r="A17">
            <v>2015</v>
          </cell>
        </row>
        <row r="18">
          <cell r="A18">
            <v>2016</v>
          </cell>
        </row>
        <row r="19">
          <cell r="A19">
            <v>2017</v>
          </cell>
        </row>
        <row r="20">
          <cell r="A20">
            <v>2018</v>
          </cell>
        </row>
        <row r="21">
          <cell r="A21">
            <v>2019</v>
          </cell>
        </row>
        <row r="22">
          <cell r="A22">
            <v>2020</v>
          </cell>
        </row>
        <row r="23">
          <cell r="A23">
            <v>2021</v>
          </cell>
        </row>
        <row r="24">
          <cell r="A24">
            <v>2022</v>
          </cell>
        </row>
        <row r="25">
          <cell r="A25">
            <v>2023</v>
          </cell>
        </row>
        <row r="26">
          <cell r="A26">
            <v>2024</v>
          </cell>
        </row>
        <row r="27">
          <cell r="A27">
            <v>2025</v>
          </cell>
        </row>
        <row r="28">
          <cell r="A28">
            <v>2026</v>
          </cell>
        </row>
        <row r="29">
          <cell r="A29">
            <v>2027</v>
          </cell>
        </row>
        <row r="30">
          <cell r="A30">
            <v>2028</v>
          </cell>
        </row>
        <row r="31">
          <cell r="A31">
            <v>2029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遥测"/>
      <sheetName val="遥信"/>
      <sheetName val="遥调"/>
      <sheetName val="遥控"/>
    </sheetNames>
    <sheetDataSet>
      <sheetData sheetId="0"/>
      <sheetData sheetId="1">
        <row r="2">
          <cell r="A2">
            <v>1000</v>
          </cell>
        </row>
        <row r="3">
          <cell r="A3">
            <v>1001</v>
          </cell>
        </row>
        <row r="4">
          <cell r="A4">
            <v>1002</v>
          </cell>
        </row>
        <row r="5">
          <cell r="A5">
            <v>1003</v>
          </cell>
        </row>
        <row r="6">
          <cell r="A6">
            <v>1004</v>
          </cell>
        </row>
        <row r="7">
          <cell r="A7">
            <v>1005</v>
          </cell>
        </row>
        <row r="8">
          <cell r="A8">
            <v>1006</v>
          </cell>
        </row>
        <row r="9">
          <cell r="A9">
            <v>1007</v>
          </cell>
        </row>
        <row r="10">
          <cell r="A10">
            <v>1008</v>
          </cell>
        </row>
        <row r="11">
          <cell r="A11">
            <v>1009</v>
          </cell>
        </row>
        <row r="12">
          <cell r="A12">
            <v>1010</v>
          </cell>
        </row>
        <row r="13">
          <cell r="A13">
            <v>1011</v>
          </cell>
        </row>
        <row r="14">
          <cell r="A14">
            <v>1012</v>
          </cell>
        </row>
        <row r="15">
          <cell r="A15">
            <v>1013</v>
          </cell>
        </row>
        <row r="16">
          <cell r="A16">
            <v>1014</v>
          </cell>
        </row>
        <row r="17">
          <cell r="A17">
            <v>1015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6"/>
  <sheetViews>
    <sheetView zoomScale="130" zoomScaleNormal="130" workbookViewId="0">
      <pane ySplit="1" topLeftCell="A2" activePane="bottomLeft" state="frozen"/>
      <selection/>
      <selection pane="bottomLeft" activeCell="B14" sqref="B14"/>
    </sheetView>
  </sheetViews>
  <sheetFormatPr defaultColWidth="22.4047619047619" defaultRowHeight="18" outlineLevelCol="2"/>
  <cols>
    <col min="1" max="1" width="22.4047619047619" style="2"/>
    <col min="2" max="2" width="33.7936507936508" style="2" customWidth="1"/>
    <col min="3" max="16384" width="22.404761904761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4</v>
      </c>
      <c r="C3" s="2" t="s">
        <v>7</v>
      </c>
    </row>
    <row r="4" spans="1:3">
      <c r="A4" s="2" t="s">
        <v>8</v>
      </c>
      <c r="B4" s="2" t="b">
        <v>0</v>
      </c>
      <c r="C4" s="2" t="s">
        <v>9</v>
      </c>
    </row>
    <row r="5" spans="1:3">
      <c r="A5" s="2" t="s">
        <v>10</v>
      </c>
      <c r="B5" s="2" t="s">
        <v>11</v>
      </c>
      <c r="C5" s="2" t="s">
        <v>12</v>
      </c>
    </row>
    <row r="6" spans="1:3">
      <c r="A6" s="2" t="s">
        <v>13</v>
      </c>
      <c r="B6" s="2">
        <v>9091</v>
      </c>
      <c r="C6" s="2" t="s">
        <v>14</v>
      </c>
    </row>
    <row r="7" spans="1:3">
      <c r="A7" s="2" t="s">
        <v>15</v>
      </c>
      <c r="B7" s="2" t="b">
        <v>1</v>
      </c>
      <c r="C7" s="2" t="s">
        <v>16</v>
      </c>
    </row>
    <row r="8" spans="1:3">
      <c r="A8" s="2" t="s">
        <v>17</v>
      </c>
      <c r="B8" s="2" t="s">
        <v>18</v>
      </c>
      <c r="C8" s="2" t="s">
        <v>19</v>
      </c>
    </row>
    <row r="9" spans="1:3">
      <c r="A9" s="2" t="s">
        <v>20</v>
      </c>
      <c r="B9" s="2">
        <v>1883</v>
      </c>
      <c r="C9" s="2" t="s">
        <v>21</v>
      </c>
    </row>
    <row r="10" spans="1:3">
      <c r="A10" s="2" t="s">
        <v>22</v>
      </c>
      <c r="B10" s="2" t="s">
        <v>23</v>
      </c>
      <c r="C10" s="2" t="s">
        <v>24</v>
      </c>
    </row>
    <row r="11" spans="1:3">
      <c r="A11" s="2" t="s">
        <v>25</v>
      </c>
      <c r="B11" s="2" t="s">
        <v>26</v>
      </c>
      <c r="C11" s="2" t="s">
        <v>27</v>
      </c>
    </row>
    <row r="12" spans="1:3">
      <c r="A12" s="2" t="s">
        <v>28</v>
      </c>
      <c r="B12" s="2" t="s">
        <v>29</v>
      </c>
      <c r="C12" s="2" t="s">
        <v>30</v>
      </c>
    </row>
    <row r="13" spans="1:3">
      <c r="A13" s="2" t="s">
        <v>31</v>
      </c>
      <c r="B13" s="2" t="s">
        <v>32</v>
      </c>
      <c r="C13" s="2" t="s">
        <v>33</v>
      </c>
    </row>
    <row r="14" spans="1:3">
      <c r="A14" s="2" t="s">
        <v>34</v>
      </c>
      <c r="B14" s="2" t="s">
        <v>11</v>
      </c>
      <c r="C14" s="2" t="s">
        <v>35</v>
      </c>
    </row>
    <row r="15" spans="1:3">
      <c r="A15" s="2" t="s">
        <v>36</v>
      </c>
      <c r="B15" s="2">
        <v>9092</v>
      </c>
      <c r="C15" s="2" t="s">
        <v>37</v>
      </c>
    </row>
    <row r="16" spans="1:3">
      <c r="A16" s="2" t="s">
        <v>38</v>
      </c>
      <c r="B16" s="2" t="s">
        <v>39</v>
      </c>
      <c r="C16" s="2" t="s">
        <v>40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13"/>
  <sheetViews>
    <sheetView zoomScale="160" zoomScaleNormal="160" workbookViewId="0">
      <pane ySplit="1" topLeftCell="A2" activePane="bottomLeft" state="frozen"/>
      <selection/>
      <selection pane="bottomLeft" activeCell="C18" sqref="C18"/>
    </sheetView>
  </sheetViews>
  <sheetFormatPr defaultColWidth="9" defaultRowHeight="18" outlineLevelCol="4"/>
  <cols>
    <col min="1" max="1" width="6.46031746031746" style="2" customWidth="1"/>
    <col min="2" max="2" width="20.9285714285714" style="2" customWidth="1"/>
    <col min="3" max="3" width="20.3333333333333" style="2" customWidth="1"/>
    <col min="4" max="4" width="12.0952380952381" style="2" customWidth="1"/>
    <col min="5" max="16384" width="9" style="2"/>
  </cols>
  <sheetData>
    <row r="1" s="1" customFormat="1" spans="1:5">
      <c r="A1" s="1" t="s">
        <v>41</v>
      </c>
      <c r="B1" s="1" t="s">
        <v>42</v>
      </c>
      <c r="C1" s="1" t="s">
        <v>43</v>
      </c>
      <c r="D1" s="1" t="s">
        <v>44</v>
      </c>
      <c r="E1" s="2"/>
    </row>
    <row r="2" spans="1:5">
      <c r="A2" s="2">
        <v>1</v>
      </c>
      <c r="B2" s="2" t="s">
        <v>45</v>
      </c>
      <c r="C2" s="2" t="s">
        <v>46</v>
      </c>
      <c r="D2" s="2" t="s">
        <v>47</v>
      </c>
    </row>
    <row r="3" spans="1:5">
      <c r="A3" s="2">
        <v>2</v>
      </c>
      <c r="B3" s="2" t="s">
        <v>48</v>
      </c>
      <c r="C3" s="2" t="s">
        <v>46</v>
      </c>
      <c r="D3" s="2" t="s">
        <v>47</v>
      </c>
    </row>
    <row r="4" spans="1:5">
      <c r="A4" s="2">
        <v>3</v>
      </c>
      <c r="B4" s="2" t="s">
        <v>49</v>
      </c>
      <c r="C4" s="2" t="s">
        <v>46</v>
      </c>
      <c r="D4" s="2" t="s">
        <v>47</v>
      </c>
    </row>
    <row r="5" spans="1:5">
      <c r="A5" s="2">
        <v>4</v>
      </c>
      <c r="B5" s="2" t="s">
        <v>50</v>
      </c>
      <c r="C5" s="2" t="s">
        <v>46</v>
      </c>
      <c r="D5" s="2" t="s">
        <v>47</v>
      </c>
    </row>
    <row r="6" spans="1:5">
      <c r="A6" s="2">
        <v>5</v>
      </c>
      <c r="B6" s="2" t="s">
        <v>51</v>
      </c>
      <c r="C6" s="2" t="s">
        <v>46</v>
      </c>
      <c r="D6" s="2" t="s">
        <v>47</v>
      </c>
    </row>
    <row r="7" spans="1:5">
      <c r="A7" s="2">
        <v>6</v>
      </c>
      <c r="B7" s="2" t="s">
        <v>52</v>
      </c>
      <c r="C7" s="2" t="s">
        <v>46</v>
      </c>
      <c r="D7" s="2" t="s">
        <v>47</v>
      </c>
    </row>
    <row r="8" spans="1:5">
      <c r="A8" s="2">
        <v>7</v>
      </c>
      <c r="B8" s="2" t="s">
        <v>53</v>
      </c>
      <c r="C8" s="2" t="s">
        <v>46</v>
      </c>
      <c r="D8" s="2" t="s">
        <v>47</v>
      </c>
    </row>
    <row r="9" spans="1:5">
      <c r="A9" s="2">
        <v>8</v>
      </c>
      <c r="B9" s="2" t="s">
        <v>54</v>
      </c>
      <c r="C9" s="2" t="s">
        <v>46</v>
      </c>
      <c r="D9" s="2" t="s">
        <v>47</v>
      </c>
    </row>
    <row r="10" spans="1:5">
      <c r="A10" s="2">
        <v>9</v>
      </c>
      <c r="B10" s="2" t="s">
        <v>55</v>
      </c>
      <c r="C10" s="2" t="s">
        <v>46</v>
      </c>
      <c r="D10" s="2" t="s">
        <v>47</v>
      </c>
    </row>
    <row r="11" spans="1:5">
      <c r="A11" s="2">
        <v>10</v>
      </c>
      <c r="B11" s="2" t="s">
        <v>56</v>
      </c>
      <c r="C11" s="2" t="s">
        <v>46</v>
      </c>
      <c r="D11" s="2" t="s">
        <v>47</v>
      </c>
    </row>
    <row r="12" spans="1:5">
      <c r="A12" s="2">
        <v>11</v>
      </c>
      <c r="B12" s="2" t="s">
        <v>57</v>
      </c>
      <c r="C12" s="2" t="s">
        <v>46</v>
      </c>
      <c r="D12" s="2" t="s">
        <v>47</v>
      </c>
    </row>
    <row r="13" spans="1:5">
      <c r="A13" s="2">
        <v>12</v>
      </c>
      <c r="B13" s="2" t="s">
        <v>58</v>
      </c>
      <c r="C13" s="2" t="s">
        <v>46</v>
      </c>
      <c r="D13" s="2" t="s">
        <v>47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13"/>
  <sheetViews>
    <sheetView tabSelected="1" zoomScale="115" zoomScaleNormal="115" workbookViewId="0">
      <pane ySplit="1" topLeftCell="A2" activePane="bottomLeft" state="frozen"/>
      <selection/>
      <selection pane="bottomLeft" activeCell="F2" sqref="F2:F13"/>
    </sheetView>
  </sheetViews>
  <sheetFormatPr defaultColWidth="9" defaultRowHeight="18"/>
  <cols>
    <col min="1" max="1" width="6.46031746031746" style="2" customWidth="1"/>
    <col min="2" max="2" width="15.5952380952381" style="2" customWidth="1"/>
    <col min="3" max="3" width="13.4603174603175" style="2" customWidth="1"/>
    <col min="4" max="4" width="15.8015873015873" style="2" customWidth="1"/>
    <col min="5" max="5" width="44.531746031746" style="2" customWidth="1"/>
    <col min="6" max="7" width="12.1984126984127" style="2" customWidth="1"/>
    <col min="8" max="8" width="16.6031746031746" style="2" customWidth="1"/>
    <col min="9" max="10" width="12.1984126984127" style="2" customWidth="1"/>
    <col min="11" max="11" width="16.6666666666667" style="2" customWidth="1"/>
    <col min="12" max="16" width="12.1984126984127" style="2" customWidth="1"/>
    <col min="17" max="17" width="9.07142857142857" style="2"/>
    <col min="18" max="18" width="17.452380952381" style="2" customWidth="1"/>
    <col min="19" max="16384" width="9.07142857142857" style="2"/>
  </cols>
  <sheetData>
    <row r="1" s="1" customFormat="1" spans="1:19">
      <c r="A1" s="1" t="s">
        <v>41</v>
      </c>
      <c r="B1" s="1" t="s">
        <v>42</v>
      </c>
      <c r="C1" s="1" t="s">
        <v>43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4" t="s">
        <v>66</v>
      </c>
      <c r="L1" s="4" t="s">
        <v>67</v>
      </c>
      <c r="M1" s="4" t="s">
        <v>68</v>
      </c>
      <c r="N1" s="4" t="s">
        <v>69</v>
      </c>
      <c r="O1" s="4" t="s">
        <v>70</v>
      </c>
      <c r="P1" s="4" t="s">
        <v>71</v>
      </c>
      <c r="Q1" s="1" t="s">
        <v>44</v>
      </c>
      <c r="R1" s="1" t="s">
        <v>72</v>
      </c>
      <c r="S1" s="1" t="s">
        <v>73</v>
      </c>
    </row>
    <row r="2" spans="1:19">
      <c r="A2" s="2">
        <f>devices!A2</f>
        <v>1</v>
      </c>
      <c r="B2" s="2" t="s">
        <v>45</v>
      </c>
      <c r="C2" s="2" t="s">
        <v>46</v>
      </c>
      <c r="D2" s="3" t="s">
        <v>74</v>
      </c>
      <c r="E2" s="2" t="s">
        <v>75</v>
      </c>
      <c r="F2" s="5">
        <v>2000</v>
      </c>
      <c r="G2" s="2">
        <v>5000</v>
      </c>
      <c r="H2" s="2" t="s">
        <v>76</v>
      </c>
      <c r="I2" s="2">
        <v>33434</v>
      </c>
      <c r="J2" s="2">
        <v>1</v>
      </c>
    </row>
    <row r="3" spans="1:19">
      <c r="A3" s="2">
        <f>devices!A3</f>
        <v>2</v>
      </c>
      <c r="B3" s="2" t="s">
        <v>48</v>
      </c>
      <c r="C3" s="2" t="s">
        <v>46</v>
      </c>
      <c r="D3" s="3" t="s">
        <v>74</v>
      </c>
      <c r="E3" s="2" t="s">
        <v>75</v>
      </c>
      <c r="F3" s="5">
        <v>2000</v>
      </c>
      <c r="G3" s="2">
        <v>5000</v>
      </c>
      <c r="H3" s="2" t="s">
        <v>76</v>
      </c>
      <c r="I3" s="2">
        <v>33434</v>
      </c>
      <c r="J3" s="2">
        <v>1</v>
      </c>
    </row>
    <row r="4" spans="1:19">
      <c r="A4" s="2">
        <f>devices!A4</f>
        <v>3</v>
      </c>
      <c r="B4" s="2" t="s">
        <v>49</v>
      </c>
      <c r="C4" s="2" t="s">
        <v>46</v>
      </c>
      <c r="D4" s="3" t="s">
        <v>74</v>
      </c>
      <c r="E4" s="2" t="s">
        <v>75</v>
      </c>
      <c r="F4" s="5">
        <v>2000</v>
      </c>
      <c r="G4" s="2">
        <v>5000</v>
      </c>
      <c r="H4" s="2" t="s">
        <v>76</v>
      </c>
      <c r="I4" s="2">
        <v>33434</v>
      </c>
      <c r="J4" s="2">
        <v>1</v>
      </c>
    </row>
    <row r="5" spans="1:19">
      <c r="A5" s="2">
        <f>devices!A5</f>
        <v>4</v>
      </c>
      <c r="B5" s="2" t="s">
        <v>50</v>
      </c>
      <c r="C5" s="2" t="s">
        <v>46</v>
      </c>
      <c r="D5" s="3" t="s">
        <v>74</v>
      </c>
      <c r="E5" s="2" t="s">
        <v>75</v>
      </c>
      <c r="F5" s="5">
        <v>2000</v>
      </c>
      <c r="G5" s="2">
        <v>5000</v>
      </c>
      <c r="H5" s="2" t="s">
        <v>76</v>
      </c>
      <c r="I5" s="2">
        <v>33434</v>
      </c>
      <c r="J5" s="2">
        <v>1</v>
      </c>
    </row>
    <row r="6" spans="1:19">
      <c r="A6" s="2">
        <f>devices!A6</f>
        <v>5</v>
      </c>
      <c r="B6" s="2" t="s">
        <v>51</v>
      </c>
      <c r="C6" s="2" t="s">
        <v>46</v>
      </c>
      <c r="D6" s="3" t="s">
        <v>74</v>
      </c>
      <c r="E6" s="2" t="s">
        <v>75</v>
      </c>
      <c r="F6" s="5">
        <v>2000</v>
      </c>
      <c r="G6" s="2">
        <v>5000</v>
      </c>
      <c r="H6" s="2" t="s">
        <v>76</v>
      </c>
      <c r="I6" s="2">
        <v>33434</v>
      </c>
      <c r="J6" s="2">
        <v>1</v>
      </c>
    </row>
    <row r="7" spans="1:19">
      <c r="A7" s="2">
        <f>devices!A7</f>
        <v>6</v>
      </c>
      <c r="B7" s="2" t="s">
        <v>52</v>
      </c>
      <c r="C7" s="2" t="s">
        <v>46</v>
      </c>
      <c r="D7" s="3" t="s">
        <v>74</v>
      </c>
      <c r="E7" s="2" t="s">
        <v>75</v>
      </c>
      <c r="F7" s="5">
        <v>2000</v>
      </c>
      <c r="G7" s="2">
        <v>5000</v>
      </c>
      <c r="H7" s="2" t="s">
        <v>76</v>
      </c>
      <c r="I7" s="2">
        <v>33434</v>
      </c>
      <c r="J7" s="2">
        <v>1</v>
      </c>
    </row>
    <row r="8" spans="1:19">
      <c r="A8" s="2">
        <f>devices!A8</f>
        <v>7</v>
      </c>
      <c r="B8" s="2" t="s">
        <v>53</v>
      </c>
      <c r="C8" s="2" t="s">
        <v>46</v>
      </c>
      <c r="D8" s="3" t="s">
        <v>74</v>
      </c>
      <c r="E8" s="2" t="s">
        <v>75</v>
      </c>
      <c r="F8" s="5">
        <v>2000</v>
      </c>
      <c r="G8" s="2">
        <v>5000</v>
      </c>
      <c r="H8" s="2" t="s">
        <v>76</v>
      </c>
      <c r="I8" s="2">
        <v>33434</v>
      </c>
      <c r="J8" s="2">
        <v>1</v>
      </c>
    </row>
    <row r="9" spans="1:19">
      <c r="A9" s="2">
        <f>devices!A9</f>
        <v>8</v>
      </c>
      <c r="B9" s="2" t="s">
        <v>54</v>
      </c>
      <c r="C9" s="2" t="s">
        <v>46</v>
      </c>
      <c r="D9" s="3" t="s">
        <v>74</v>
      </c>
      <c r="E9" s="2" t="s">
        <v>75</v>
      </c>
      <c r="F9" s="5">
        <v>2000</v>
      </c>
      <c r="G9" s="2">
        <v>5000</v>
      </c>
      <c r="H9" s="2" t="s">
        <v>76</v>
      </c>
      <c r="I9" s="2">
        <v>33434</v>
      </c>
      <c r="J9" s="2">
        <v>1</v>
      </c>
    </row>
    <row r="10" spans="1:19">
      <c r="A10" s="2">
        <f>devices!A10</f>
        <v>9</v>
      </c>
      <c r="B10" s="2" t="s">
        <v>55</v>
      </c>
      <c r="C10" s="2" t="s">
        <v>46</v>
      </c>
      <c r="D10" s="3" t="s">
        <v>74</v>
      </c>
      <c r="E10" s="2" t="s">
        <v>75</v>
      </c>
      <c r="F10" s="5">
        <v>2000</v>
      </c>
      <c r="G10" s="2">
        <v>5000</v>
      </c>
      <c r="H10" s="2" t="s">
        <v>76</v>
      </c>
      <c r="I10" s="2">
        <v>33434</v>
      </c>
      <c r="J10" s="2">
        <v>1</v>
      </c>
    </row>
    <row r="11" spans="1:19">
      <c r="A11" s="2">
        <f>devices!A11</f>
        <v>10</v>
      </c>
      <c r="B11" s="2" t="s">
        <v>56</v>
      </c>
      <c r="C11" s="2" t="s">
        <v>46</v>
      </c>
      <c r="D11" s="3" t="s">
        <v>74</v>
      </c>
      <c r="E11" s="2" t="s">
        <v>75</v>
      </c>
      <c r="F11" s="5">
        <v>2000</v>
      </c>
      <c r="G11" s="2">
        <v>5000</v>
      </c>
      <c r="H11" s="2" t="s">
        <v>76</v>
      </c>
      <c r="I11" s="2">
        <v>33434</v>
      </c>
      <c r="J11" s="2">
        <v>1</v>
      </c>
    </row>
    <row r="12" spans="1:19">
      <c r="A12" s="2">
        <f>devices!A12</f>
        <v>11</v>
      </c>
      <c r="B12" s="2" t="s">
        <v>57</v>
      </c>
      <c r="C12" s="2" t="s">
        <v>46</v>
      </c>
      <c r="D12" s="3" t="s">
        <v>74</v>
      </c>
      <c r="E12" s="2" t="s">
        <v>75</v>
      </c>
      <c r="F12" s="5">
        <v>2000</v>
      </c>
      <c r="G12" s="2">
        <v>5000</v>
      </c>
      <c r="H12" s="2" t="s">
        <v>76</v>
      </c>
      <c r="I12" s="2">
        <v>33434</v>
      </c>
      <c r="J12" s="2">
        <v>1</v>
      </c>
    </row>
    <row r="13" spans="1:19">
      <c r="A13" s="2">
        <f>devices!A13</f>
        <v>12</v>
      </c>
      <c r="B13" s="2" t="s">
        <v>58</v>
      </c>
      <c r="C13" s="2" t="s">
        <v>46</v>
      </c>
      <c r="D13" s="3" t="s">
        <v>74</v>
      </c>
      <c r="E13" s="2" t="s">
        <v>75</v>
      </c>
      <c r="F13" s="5">
        <v>2000</v>
      </c>
      <c r="G13" s="2">
        <v>5000</v>
      </c>
      <c r="H13" s="2" t="s">
        <v>76</v>
      </c>
      <c r="I13" s="2">
        <v>33434</v>
      </c>
      <c r="J13" s="2">
        <v>1</v>
      </c>
    </row>
  </sheetData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zoomScale="130" zoomScaleNormal="130" workbookViewId="0">
      <pane ySplit="1" topLeftCell="A18" activePane="bottomLeft" state="frozen"/>
      <selection/>
      <selection pane="bottomLeft" activeCell="C32" sqref="C32"/>
    </sheetView>
  </sheetViews>
  <sheetFormatPr defaultColWidth="9.11111111111111" defaultRowHeight="18" outlineLevelCol="6"/>
  <cols>
    <col min="1" max="1" width="11.7619047619048" style="2" customWidth="1"/>
    <col min="2" max="2" width="27.0952380952381" style="2" customWidth="1"/>
    <col min="3" max="3" width="212.15873015873" style="2" customWidth="1"/>
    <col min="4" max="4" width="20.3968253968254" style="2" customWidth="1"/>
    <col min="5" max="5" width="10.2936507936508" style="2" customWidth="1"/>
    <col min="6" max="6" width="10.4365079365079" style="2" customWidth="1"/>
    <col min="7" max="16384" width="9.11111111111111" style="2"/>
  </cols>
  <sheetData>
    <row r="1" s="1" customFormat="1" spans="1:7">
      <c r="A1" s="1" t="s">
        <v>77</v>
      </c>
      <c r="B1" s="1" t="s">
        <v>78</v>
      </c>
      <c r="C1" s="1" t="s">
        <v>79</v>
      </c>
      <c r="D1" s="1" t="s">
        <v>80</v>
      </c>
      <c r="E1" s="2"/>
      <c r="F1" s="2"/>
      <c r="G1" s="2"/>
    </row>
    <row r="2" spans="1:7">
      <c r="A2" s="2" t="s">
        <v>45</v>
      </c>
      <c r="B2" s="2" t="s">
        <v>81</v>
      </c>
      <c r="C2" s="2" t="str">
        <f>_xlfn.TEXTJOIN(",",TRUE,[2]遥信!$A$2:$A$17)&amp;",65535"</f>
        <v>1000,1001,1002,1003,1004,1005,1006,1007,1008,1009,1010,1011,1012,1013,1014,1015,65535</v>
      </c>
      <c r="D2" s="3">
        <v>1</v>
      </c>
    </row>
    <row r="3" spans="1:7">
      <c r="A3" s="2" t="s">
        <v>45</v>
      </c>
      <c r="B3" s="2" t="s">
        <v>82</v>
      </c>
      <c r="C3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3" s="3">
        <v>1</v>
      </c>
    </row>
    <row r="4" spans="1:7">
      <c r="A4" s="2" t="s">
        <v>45</v>
      </c>
      <c r="B4" s="2" t="s">
        <v>83</v>
      </c>
      <c r="C4" s="2" t="str">
        <f>_xlfn.TEXTJOIN(",",TRUE,[1]遥调!$A$2:$A$44)</f>
        <v>2000,2001,2002,2003,2004,2005,2006,2007,2008,2009,2010,2011,2012,2013,2014,2015,2016,2017,2018,2019,2020,2021,2022,2023,2024,2025,2026,2027,2028,2029</v>
      </c>
    </row>
    <row r="5" spans="1:7">
      <c r="A5" s="2" t="s">
        <v>48</v>
      </c>
      <c r="B5" s="2" t="s">
        <v>84</v>
      </c>
      <c r="C5" s="2" t="str">
        <f>_xlfn.TEXTJOIN(",",TRUE,[2]遥信!$A$2:$A$17)&amp;",65535"</f>
        <v>1000,1001,1002,1003,1004,1005,1006,1007,1008,1009,1010,1011,1012,1013,1014,1015,65535</v>
      </c>
      <c r="D5" s="3">
        <v>1</v>
      </c>
    </row>
    <row r="6" spans="1:7">
      <c r="A6" s="2" t="s">
        <v>48</v>
      </c>
      <c r="B6" s="2" t="s">
        <v>85</v>
      </c>
      <c r="C6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6" s="3">
        <v>1</v>
      </c>
    </row>
    <row r="7" spans="1:7">
      <c r="A7" s="2" t="s">
        <v>48</v>
      </c>
      <c r="B7" s="2" t="s">
        <v>86</v>
      </c>
      <c r="C7" s="2" t="str">
        <f>_xlfn.TEXTJOIN(",",TRUE,[1]遥调!$A$2:$A$44)</f>
        <v>2000,2001,2002,2003,2004,2005,2006,2007,2008,2009,2010,2011,2012,2013,2014,2015,2016,2017,2018,2019,2020,2021,2022,2023,2024,2025,2026,2027,2028,2029</v>
      </c>
    </row>
    <row r="8" spans="1:7">
      <c r="A8" s="2" t="s">
        <v>49</v>
      </c>
      <c r="B8" s="2" t="s">
        <v>87</v>
      </c>
      <c r="C8" s="2" t="str">
        <f>_xlfn.TEXTJOIN(",",TRUE,[2]遥信!$A$2:$A$17)&amp;",65535"</f>
        <v>1000,1001,1002,1003,1004,1005,1006,1007,1008,1009,1010,1011,1012,1013,1014,1015,65535</v>
      </c>
      <c r="D8" s="3">
        <v>1</v>
      </c>
    </row>
    <row r="9" spans="1:7">
      <c r="A9" s="2" t="s">
        <v>49</v>
      </c>
      <c r="B9" s="2" t="s">
        <v>88</v>
      </c>
      <c r="C9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9" s="3">
        <v>1</v>
      </c>
    </row>
    <row r="10" spans="1:7">
      <c r="A10" s="2" t="s">
        <v>49</v>
      </c>
      <c r="B10" s="2" t="s">
        <v>89</v>
      </c>
      <c r="C10" s="2" t="str">
        <f>_xlfn.TEXTJOIN(",",TRUE,[1]遥调!$A$2:$A$44)</f>
        <v>2000,2001,2002,2003,2004,2005,2006,2007,2008,2009,2010,2011,2012,2013,2014,2015,2016,2017,2018,2019,2020,2021,2022,2023,2024,2025,2026,2027,2028,2029</v>
      </c>
    </row>
    <row r="11" spans="1:7">
      <c r="A11" s="2" t="s">
        <v>50</v>
      </c>
      <c r="B11" s="2" t="s">
        <v>90</v>
      </c>
      <c r="C11" s="2" t="str">
        <f>_xlfn.TEXTJOIN(",",TRUE,[2]遥信!$A$2:$A$17)&amp;",65535"</f>
        <v>1000,1001,1002,1003,1004,1005,1006,1007,1008,1009,1010,1011,1012,1013,1014,1015,65535</v>
      </c>
      <c r="D11" s="3">
        <v>1</v>
      </c>
    </row>
    <row r="12" spans="1:7">
      <c r="A12" s="2" t="s">
        <v>50</v>
      </c>
      <c r="B12" s="2" t="s">
        <v>91</v>
      </c>
      <c r="C12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12" s="3">
        <v>1</v>
      </c>
    </row>
    <row r="13" spans="1:7">
      <c r="A13" s="2" t="s">
        <v>50</v>
      </c>
      <c r="B13" s="2" t="s">
        <v>92</v>
      </c>
      <c r="C13" s="2" t="str">
        <f>_xlfn.TEXTJOIN(",",TRUE,[1]遥调!$A$2:$A$44)</f>
        <v>2000,2001,2002,2003,2004,2005,2006,2007,2008,2009,2010,2011,2012,2013,2014,2015,2016,2017,2018,2019,2020,2021,2022,2023,2024,2025,2026,2027,2028,2029</v>
      </c>
    </row>
    <row r="14" spans="1:7">
      <c r="A14" s="2" t="s">
        <v>51</v>
      </c>
      <c r="B14" s="2" t="s">
        <v>93</v>
      </c>
      <c r="C14" s="2" t="str">
        <f>_xlfn.TEXTJOIN(",",TRUE,[2]遥信!$A$2:$A$17)&amp;",65535"</f>
        <v>1000,1001,1002,1003,1004,1005,1006,1007,1008,1009,1010,1011,1012,1013,1014,1015,65535</v>
      </c>
      <c r="D14" s="3">
        <v>1</v>
      </c>
    </row>
    <row r="15" spans="1:7">
      <c r="A15" s="2" t="s">
        <v>51</v>
      </c>
      <c r="B15" s="2" t="s">
        <v>94</v>
      </c>
      <c r="C15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15" s="3">
        <v>1</v>
      </c>
    </row>
    <row r="16" spans="1:7">
      <c r="A16" s="2" t="s">
        <v>51</v>
      </c>
      <c r="B16" s="2" t="s">
        <v>95</v>
      </c>
      <c r="C16" s="2" t="str">
        <f>_xlfn.TEXTJOIN(",",TRUE,[1]遥调!$A$2:$A$44)</f>
        <v>2000,2001,2002,2003,2004,2005,2006,2007,2008,2009,2010,2011,2012,2013,2014,2015,2016,2017,2018,2019,2020,2021,2022,2023,2024,2025,2026,2027,2028,2029</v>
      </c>
    </row>
    <row r="17" spans="1:4">
      <c r="A17" s="2" t="s">
        <v>52</v>
      </c>
      <c r="B17" s="2" t="s">
        <v>96</v>
      </c>
      <c r="C17" s="2" t="str">
        <f>_xlfn.TEXTJOIN(",",TRUE,[2]遥信!$A$2:$A$17)&amp;",65535"</f>
        <v>1000,1001,1002,1003,1004,1005,1006,1007,1008,1009,1010,1011,1012,1013,1014,1015,65535</v>
      </c>
      <c r="D17" s="3">
        <v>1</v>
      </c>
    </row>
    <row r="18" spans="1:4">
      <c r="A18" s="2" t="s">
        <v>52</v>
      </c>
      <c r="B18" s="2" t="s">
        <v>97</v>
      </c>
      <c r="C18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18" s="3">
        <v>1</v>
      </c>
    </row>
    <row r="19" spans="1:4">
      <c r="A19" s="2" t="s">
        <v>52</v>
      </c>
      <c r="B19" s="2" t="s">
        <v>98</v>
      </c>
      <c r="C19" s="2" t="str">
        <f>_xlfn.TEXTJOIN(",",TRUE,[1]遥调!$A$2:$A$44)</f>
        <v>2000,2001,2002,2003,2004,2005,2006,2007,2008,2009,2010,2011,2012,2013,2014,2015,2016,2017,2018,2019,2020,2021,2022,2023,2024,2025,2026,2027,2028,2029</v>
      </c>
    </row>
    <row r="20" spans="1:4">
      <c r="A20" s="2" t="s">
        <v>53</v>
      </c>
      <c r="B20" s="2" t="s">
        <v>99</v>
      </c>
      <c r="C20" s="2" t="str">
        <f>_xlfn.TEXTJOIN(",",TRUE,[2]遥信!$A$2:$A$17)&amp;",65535"</f>
        <v>1000,1001,1002,1003,1004,1005,1006,1007,1008,1009,1010,1011,1012,1013,1014,1015,65535</v>
      </c>
      <c r="D20" s="3">
        <v>1</v>
      </c>
    </row>
    <row r="21" spans="1:4">
      <c r="A21" s="2" t="s">
        <v>53</v>
      </c>
      <c r="B21" s="2" t="s">
        <v>100</v>
      </c>
      <c r="C21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21" s="3">
        <v>1</v>
      </c>
    </row>
    <row r="22" spans="1:4">
      <c r="A22" s="2" t="s">
        <v>53</v>
      </c>
      <c r="B22" s="2" t="s">
        <v>101</v>
      </c>
      <c r="C22" s="2" t="str">
        <f>_xlfn.TEXTJOIN(",",TRUE,[1]遥调!$A$2:$A$44)</f>
        <v>2000,2001,2002,2003,2004,2005,2006,2007,2008,2009,2010,2011,2012,2013,2014,2015,2016,2017,2018,2019,2020,2021,2022,2023,2024,2025,2026,2027,2028,2029</v>
      </c>
    </row>
    <row r="23" spans="1:4">
      <c r="A23" s="2" t="s">
        <v>54</v>
      </c>
      <c r="B23" s="2" t="s">
        <v>102</v>
      </c>
      <c r="C23" s="2" t="str">
        <f>_xlfn.TEXTJOIN(",",TRUE,[2]遥信!$A$2:$A$17)&amp;",65535"</f>
        <v>1000,1001,1002,1003,1004,1005,1006,1007,1008,1009,1010,1011,1012,1013,1014,1015,65535</v>
      </c>
      <c r="D23" s="3">
        <v>1</v>
      </c>
    </row>
    <row r="24" spans="1:4">
      <c r="A24" s="2" t="s">
        <v>54</v>
      </c>
      <c r="B24" s="2" t="s">
        <v>103</v>
      </c>
      <c r="C24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24" s="3">
        <v>1</v>
      </c>
    </row>
    <row r="25" spans="1:4">
      <c r="A25" s="2" t="s">
        <v>54</v>
      </c>
      <c r="B25" s="2" t="s">
        <v>104</v>
      </c>
      <c r="C25" s="2" t="str">
        <f>_xlfn.TEXTJOIN(",",TRUE,[1]遥调!$A$2:$A$44)</f>
        <v>2000,2001,2002,2003,2004,2005,2006,2007,2008,2009,2010,2011,2012,2013,2014,2015,2016,2017,2018,2019,2020,2021,2022,2023,2024,2025,2026,2027,2028,2029</v>
      </c>
    </row>
    <row r="26" spans="1:4">
      <c r="A26" s="2" t="s">
        <v>55</v>
      </c>
      <c r="B26" s="2" t="s">
        <v>105</v>
      </c>
      <c r="C26" s="2" t="str">
        <f>_xlfn.TEXTJOIN(",",TRUE,[2]遥信!$A$2:$A$17)&amp;",65535"</f>
        <v>1000,1001,1002,1003,1004,1005,1006,1007,1008,1009,1010,1011,1012,1013,1014,1015,65535</v>
      </c>
      <c r="D26" s="3">
        <v>1</v>
      </c>
    </row>
    <row r="27" spans="1:4">
      <c r="A27" s="2" t="s">
        <v>55</v>
      </c>
      <c r="B27" s="2" t="s">
        <v>106</v>
      </c>
      <c r="C27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27" s="3">
        <v>1</v>
      </c>
    </row>
    <row r="28" spans="1:4">
      <c r="A28" s="2" t="s">
        <v>55</v>
      </c>
      <c r="B28" s="2" t="s">
        <v>107</v>
      </c>
      <c r="C28" s="2" t="str">
        <f>_xlfn.TEXTJOIN(",",TRUE,[1]遥调!$A$2:$A$44)</f>
        <v>2000,2001,2002,2003,2004,2005,2006,2007,2008,2009,2010,2011,2012,2013,2014,2015,2016,2017,2018,2019,2020,2021,2022,2023,2024,2025,2026,2027,2028,2029</v>
      </c>
    </row>
    <row r="29" spans="1:4">
      <c r="A29" s="2" t="s">
        <v>56</v>
      </c>
      <c r="B29" s="2" t="s">
        <v>108</v>
      </c>
      <c r="C29" s="2" t="str">
        <f>_xlfn.TEXTJOIN(",",TRUE,[2]遥信!$A$2:$A$17)&amp;",65535"</f>
        <v>1000,1001,1002,1003,1004,1005,1006,1007,1008,1009,1010,1011,1012,1013,1014,1015,65535</v>
      </c>
      <c r="D29" s="3">
        <v>1</v>
      </c>
    </row>
    <row r="30" spans="1:4">
      <c r="A30" s="2" t="s">
        <v>56</v>
      </c>
      <c r="B30" s="2" t="s">
        <v>109</v>
      </c>
      <c r="C30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30" s="3">
        <v>1</v>
      </c>
    </row>
    <row r="31" spans="1:4">
      <c r="A31" s="2" t="s">
        <v>56</v>
      </c>
      <c r="B31" s="2" t="s">
        <v>110</v>
      </c>
      <c r="C31" s="2" t="str">
        <f>_xlfn.TEXTJOIN(",",TRUE,[1]遥调!$A$2:$A$44)</f>
        <v>2000,2001,2002,2003,2004,2005,2006,2007,2008,2009,2010,2011,2012,2013,2014,2015,2016,2017,2018,2019,2020,2021,2022,2023,2024,2025,2026,2027,2028,2029</v>
      </c>
    </row>
    <row r="32" spans="1:4">
      <c r="A32" s="2" t="s">
        <v>57</v>
      </c>
      <c r="B32" s="2" t="s">
        <v>111</v>
      </c>
      <c r="C32" s="2" t="str">
        <f>_xlfn.TEXTJOIN(",",TRUE,[2]遥信!$A$2:$A$17)&amp;",65535"</f>
        <v>1000,1001,1002,1003,1004,1005,1006,1007,1008,1009,1010,1011,1012,1013,1014,1015,65535</v>
      </c>
      <c r="D32" s="3">
        <v>1</v>
      </c>
    </row>
    <row r="33" spans="1:4">
      <c r="A33" s="2" t="s">
        <v>57</v>
      </c>
      <c r="B33" s="2" t="s">
        <v>112</v>
      </c>
      <c r="C33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33" s="3">
        <v>1</v>
      </c>
    </row>
    <row r="34" spans="1:4">
      <c r="A34" s="2" t="s">
        <v>57</v>
      </c>
      <c r="B34" s="2" t="s">
        <v>113</v>
      </c>
      <c r="C34" s="2" t="str">
        <f>_xlfn.TEXTJOIN(",",TRUE,[1]遥调!$A$2:$A$44)</f>
        <v>2000,2001,2002,2003,2004,2005,2006,2007,2008,2009,2010,2011,2012,2013,2014,2015,2016,2017,2018,2019,2020,2021,2022,2023,2024,2025,2026,2027,2028,2029</v>
      </c>
    </row>
    <row r="35" spans="1:4">
      <c r="A35" s="2" t="s">
        <v>58</v>
      </c>
      <c r="B35" s="2" t="s">
        <v>114</v>
      </c>
      <c r="C35" s="2" t="str">
        <f>_xlfn.TEXTJOIN(",",TRUE,[2]遥信!$A$2:$A$17)&amp;",65535"</f>
        <v>1000,1001,1002,1003,1004,1005,1006,1007,1008,1009,1010,1011,1012,1013,1014,1015,65535</v>
      </c>
      <c r="D35" s="3">
        <v>1</v>
      </c>
    </row>
    <row r="36" spans="1:4">
      <c r="A36" s="2" t="s">
        <v>58</v>
      </c>
      <c r="B36" s="2" t="s">
        <v>115</v>
      </c>
      <c r="C36" s="2" t="str">
        <f>_xlfn.TEXTJOIN(",",TRUE,[1]遥测!$A$2:$A$180)</f>
        <v>1,2,3,4,5,6,7,8,9,10,11,12,13,14,15,16,17,18,19,20,21,22,23,24,25,26,27,28,29,30,31,32,33,34,35,36,40,41,42,43,44,45,46,47,48,49,50,51,52,53,54,55,56,57,58,59,60,61,62,63,64,65,66,67,68,69,70,71</v>
      </c>
      <c r="D36" s="3">
        <v>1</v>
      </c>
    </row>
    <row r="37" spans="1:4">
      <c r="A37" s="2" t="s">
        <v>58</v>
      </c>
      <c r="B37" s="2" t="s">
        <v>116</v>
      </c>
      <c r="C37" s="2" t="str">
        <f>_xlfn.TEXTJOIN(",",TRUE,[1]遥调!$A$2:$A$44)</f>
        <v>2000,2001,2002,2003,2004,2005,2006,2007,2008,2009,2010,2011,2012,2013,2014,2015,2016,2017,2018,2019,2020,2021,2022,2023,2024,2025,2026,2027,2028,2029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project</vt:lpstr>
      <vt:lpstr>devices</vt:lpstr>
      <vt:lpstr>config</vt:lpstr>
      <vt:lpstr>mqtt_routes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袁安</dc:creator>
  <cp:lastModifiedBy>mikasa</cp:lastModifiedBy>
  <dcterms:created xsi:type="dcterms:W3CDTF">2023-05-24T11:15:00Z</dcterms:created>
  <dcterms:modified xsi:type="dcterms:W3CDTF">2026-07-29T10:58:53Z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2052-12.1.2.26885</vt:lpwstr>
  </property>
  <property fmtid="{D5CDD505-2E9C-101B-9397-08002B2CF9AE}" pid="3" name="ICV">
    <vt:lpwstr>7D204EFC9206CE81CBC5B3691260CFD5_42</vt:lpwstr>
  </property>
  <property fmtid="{D5CDD505-2E9C-101B-9397-08002B2CF9AE}" pid="4" name="CalculationRule">
    <vt:i4>0</vt:i4>
  </property>
</Properties>
</file>